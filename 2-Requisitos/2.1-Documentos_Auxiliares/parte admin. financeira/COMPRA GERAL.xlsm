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/>
  <bookViews>
    <workbookView xWindow="240" yWindow="1470" windowWidth="19440" windowHeight="8205"/>
  </bookViews>
  <sheets>
    <sheet name="COMPRAS DIVERSAS" sheetId="5" r:id="rId1"/>
    <sheet name="DESCONTÃO 2015" sheetId="6" r:id="rId2"/>
    <sheet name="MAX CALÇADOS" sheetId="7" r:id="rId3"/>
    <sheet name="DELÍRIOS CONFECÇÕES" sheetId="9" r:id="rId4"/>
    <sheet name="MAKROPEL" sheetId="10" r:id="rId5"/>
    <sheet name="CASA VITÓRIA" sheetId="11" r:id="rId6"/>
    <sheet name="ARQUIVO 2014." sheetId="8" r:id="rId7"/>
    <sheet name="Plan1" sheetId="12" r:id="rId8"/>
  </sheets>
  <definedNames>
    <definedName name="_xlnm.Print_Area" localSheetId="5">'CASA VITÓRIA'!$A$32:$H$39</definedName>
    <definedName name="_xlnm.Print_Area" localSheetId="3">'DELÍRIOS CONFECÇÕES'!$A$48:$K$57</definedName>
    <definedName name="_xlnm.Print_Area" localSheetId="1">'DESCONTÃO 2015'!$A$65:$H$84</definedName>
    <definedName name="_xlnm.Print_Area" localSheetId="4">MAKROPEL!$A$32:$L$42</definedName>
    <definedName name="_xlnm.Print_Area" localSheetId="2">'MAX CALÇADOS'!$A$2:$H$71</definedName>
  </definedNames>
  <calcPr calcId="145621"/>
</workbook>
</file>

<file path=xl/calcChain.xml><?xml version="1.0" encoding="utf-8"?>
<calcChain xmlns="http://schemas.openxmlformats.org/spreadsheetml/2006/main">
  <c r="D21" i="5" l="1"/>
  <c r="H86" i="6" l="1"/>
  <c r="H87" i="6" s="1"/>
  <c r="H88" i="6" s="1"/>
  <c r="H89" i="6" s="1"/>
  <c r="H90" i="6" s="1"/>
  <c r="H91" i="6" s="1"/>
  <c r="H92" i="6" s="1"/>
  <c r="H237" i="5" l="1"/>
  <c r="H238" i="5"/>
  <c r="H239" i="5" s="1"/>
  <c r="H240" i="5" s="1"/>
  <c r="H241" i="5" s="1"/>
  <c r="H268" i="5" l="1"/>
  <c r="G267" i="5"/>
  <c r="H267" i="5" l="1"/>
  <c r="H84" i="6" l="1"/>
  <c r="H85" i="6"/>
  <c r="K35" i="10" l="1"/>
  <c r="H40" i="10"/>
  <c r="H41" i="10"/>
  <c r="H42" i="10" s="1"/>
  <c r="H39" i="10"/>
  <c r="E21" i="5" l="1"/>
  <c r="H262" i="5"/>
  <c r="H263" i="5" s="1"/>
  <c r="H264" i="5" s="1"/>
  <c r="H265" i="5" s="1"/>
  <c r="H266" i="5" s="1"/>
  <c r="E20" i="5" l="1"/>
  <c r="E19" i="5"/>
  <c r="E18" i="5"/>
  <c r="H254" i="5" l="1"/>
  <c r="H255" i="5" s="1"/>
  <c r="H256" i="5" s="1"/>
  <c r="H257" i="5" s="1"/>
  <c r="D20" i="5" s="1"/>
  <c r="H246" i="5" l="1"/>
  <c r="H247" i="5" s="1"/>
  <c r="H248" i="5" s="1"/>
  <c r="H249" i="5" s="1"/>
  <c r="D19" i="5" s="1"/>
  <c r="H227" i="5"/>
  <c r="H228" i="5" s="1"/>
  <c r="H229" i="5" s="1"/>
  <c r="H230" i="5" l="1"/>
  <c r="H231" i="5" s="1"/>
  <c r="H232" i="5" s="1"/>
  <c r="H233" i="5" s="1"/>
  <c r="H234" i="5" s="1"/>
  <c r="H235" i="5" s="1"/>
  <c r="E16" i="5"/>
  <c r="E17" i="5"/>
  <c r="E13" i="5"/>
  <c r="E11" i="5"/>
  <c r="E10" i="5"/>
  <c r="E7" i="5"/>
  <c r="E5" i="5"/>
  <c r="E4" i="5"/>
  <c r="E12" i="5"/>
  <c r="E14" i="5"/>
  <c r="E15" i="5"/>
  <c r="H213" i="5"/>
  <c r="H214" i="5" s="1"/>
  <c r="H215" i="5" s="1"/>
  <c r="H216" i="5" s="1"/>
  <c r="H217" i="5" s="1"/>
  <c r="H218" i="5" s="1"/>
  <c r="H219" i="5" s="1"/>
  <c r="H220" i="5" s="1"/>
  <c r="D18" i="5" l="1"/>
  <c r="H236" i="5"/>
  <c r="H221" i="5"/>
  <c r="D16" i="5"/>
  <c r="H136" i="5" l="1"/>
  <c r="H137" i="5" s="1"/>
  <c r="D8" i="5" s="1"/>
  <c r="H64" i="5" l="1"/>
  <c r="H65" i="5" s="1"/>
  <c r="H66" i="5" s="1"/>
  <c r="H67" i="5" s="1"/>
  <c r="H68" i="5" s="1"/>
  <c r="H69" i="5" s="1"/>
  <c r="H70" i="5" s="1"/>
  <c r="H71" i="5" s="1"/>
  <c r="H72" i="5" s="1"/>
  <c r="H73" i="5" s="1"/>
  <c r="H74" i="5" s="1"/>
  <c r="D4" i="5" s="1"/>
  <c r="H92" i="5" l="1"/>
  <c r="H93" i="5" s="1"/>
  <c r="H94" i="5" s="1"/>
  <c r="H95" i="5" s="1"/>
  <c r="H96" i="5" s="1"/>
  <c r="H97" i="5" s="1"/>
  <c r="H98" i="5" s="1"/>
  <c r="H99" i="5" s="1"/>
  <c r="H100" i="5" s="1"/>
  <c r="H101" i="5" s="1"/>
  <c r="H199" i="5" l="1"/>
  <c r="H200" i="5" s="1"/>
  <c r="H201" i="5" s="1"/>
  <c r="H202" i="5" s="1"/>
  <c r="H203" i="5" l="1"/>
  <c r="D11" i="5" s="1"/>
  <c r="H155" i="5"/>
  <c r="H156" i="5" s="1"/>
  <c r="H157" i="5" s="1"/>
  <c r="H158" i="5" s="1"/>
  <c r="H159" i="5" s="1"/>
  <c r="H160" i="5" s="1"/>
  <c r="H161" i="5" s="1"/>
  <c r="H162" i="5" s="1"/>
  <c r="H163" i="5" s="1"/>
  <c r="D6" i="5"/>
  <c r="E3" i="5"/>
  <c r="H18" i="11"/>
  <c r="H19" i="11" s="1"/>
  <c r="H22" i="11" s="1"/>
  <c r="H23" i="11" s="1"/>
  <c r="H24" i="11" s="1"/>
  <c r="H25" i="11" s="1"/>
  <c r="H26" i="11" s="1"/>
  <c r="H27" i="11" s="1"/>
  <c r="H28" i="11" s="1"/>
  <c r="H29" i="11" s="1"/>
  <c r="H30" i="11" s="1"/>
  <c r="H31" i="11" s="1"/>
  <c r="H32" i="11" s="1"/>
  <c r="H33" i="11" s="1"/>
  <c r="H34" i="11" s="1"/>
  <c r="H35" i="11" s="1"/>
  <c r="H36" i="11" s="1"/>
  <c r="H37" i="11" s="1"/>
  <c r="D17" i="5" s="1"/>
  <c r="H14" i="11"/>
  <c r="H15" i="11" s="1"/>
  <c r="H16" i="11" s="1"/>
  <c r="H3" i="11"/>
  <c r="H4" i="11" s="1"/>
  <c r="H5" i="11" s="1"/>
  <c r="H6" i="11" s="1"/>
  <c r="H7" i="11" s="1"/>
  <c r="H8" i="11" s="1"/>
  <c r="H9" i="11" s="1"/>
  <c r="H10" i="11" s="1"/>
  <c r="H11" i="11" s="1"/>
  <c r="H12" i="11" s="1"/>
  <c r="H186" i="5"/>
  <c r="H190" i="5" s="1"/>
  <c r="G61" i="6"/>
  <c r="G66" i="6" s="1"/>
  <c r="H56" i="5"/>
  <c r="H57" i="5" s="1"/>
  <c r="H58" i="5" s="1"/>
  <c r="H59" i="5" s="1"/>
  <c r="G60" i="5"/>
  <c r="H39" i="7"/>
  <c r="H40" i="7" s="1"/>
  <c r="H41" i="7" s="1"/>
  <c r="H42" i="7" s="1"/>
  <c r="H43" i="7" s="1"/>
  <c r="H44" i="7" s="1"/>
  <c r="H45" i="7" s="1"/>
  <c r="H46" i="7" s="1"/>
  <c r="H47" i="7" s="1"/>
  <c r="H48" i="7" s="1"/>
  <c r="H115" i="5"/>
  <c r="H116" i="5" s="1"/>
  <c r="H117" i="5" s="1"/>
  <c r="H118" i="5" s="1"/>
  <c r="H121" i="5" s="1"/>
  <c r="H122" i="5" s="1"/>
  <c r="H123" i="5" s="1"/>
  <c r="H124" i="5" s="1"/>
  <c r="D7" i="5" s="1"/>
  <c r="H5" i="9"/>
  <c r="H6" i="9" s="1"/>
  <c r="H7" i="9" s="1"/>
  <c r="H8" i="9" s="1"/>
  <c r="H9" i="9" s="1"/>
  <c r="H10" i="9" s="1"/>
  <c r="H11" i="9" s="1"/>
  <c r="H12" i="9" s="1"/>
  <c r="H13" i="9" s="1"/>
  <c r="H14" i="9" s="1"/>
  <c r="H15" i="9" s="1"/>
  <c r="H16" i="9" s="1"/>
  <c r="H17" i="9" s="1"/>
  <c r="H18" i="9" s="1"/>
  <c r="H19" i="9" s="1"/>
  <c r="H20" i="9" s="1"/>
  <c r="H21" i="9" s="1"/>
  <c r="H22" i="9" s="1"/>
  <c r="G6" i="9"/>
  <c r="G8" i="9"/>
  <c r="G9" i="9"/>
  <c r="G10" i="9"/>
  <c r="G11" i="9"/>
  <c r="G12" i="9"/>
  <c r="G14" i="9"/>
  <c r="G15" i="9"/>
  <c r="G18" i="9"/>
  <c r="G20" i="9"/>
  <c r="G21" i="9"/>
  <c r="D22" i="9"/>
  <c r="F24" i="9"/>
  <c r="F25" i="9"/>
  <c r="F26" i="9"/>
  <c r="F38" i="9"/>
  <c r="E38" i="9" s="1"/>
  <c r="G38" i="9"/>
  <c r="H42" i="9"/>
  <c r="H43" i="9" s="1"/>
  <c r="H44" i="9" s="1"/>
  <c r="H45" i="9" s="1"/>
  <c r="H46" i="9" s="1"/>
  <c r="H47" i="9" s="1"/>
  <c r="H49" i="9"/>
  <c r="H50" i="9" s="1"/>
  <c r="H51" i="9" s="1"/>
  <c r="H52" i="9" s="1"/>
  <c r="H53" i="9" s="1"/>
  <c r="H54" i="9" s="1"/>
  <c r="H55" i="9" s="1"/>
  <c r="H56" i="9" s="1"/>
  <c r="H57" i="9" s="1"/>
  <c r="H58" i="9" s="1"/>
  <c r="H59" i="9" s="1"/>
  <c r="D14" i="5" s="1"/>
  <c r="G26" i="8"/>
  <c r="G25" i="8"/>
  <c r="G24" i="8"/>
  <c r="G22" i="8"/>
  <c r="G21" i="8"/>
  <c r="H18" i="8"/>
  <c r="H19" i="8" s="1"/>
  <c r="H20" i="8" s="1"/>
  <c r="H21" i="8" s="1"/>
  <c r="H4" i="8"/>
  <c r="H5" i="8" s="1"/>
  <c r="H6" i="8" s="1"/>
  <c r="H7" i="8" s="1"/>
  <c r="H8" i="8" s="1"/>
  <c r="H9" i="8" s="1"/>
  <c r="H10" i="8" s="1"/>
  <c r="H11" i="8" s="1"/>
  <c r="H12" i="8" s="1"/>
  <c r="H13" i="8" s="1"/>
  <c r="H14" i="8" s="1"/>
  <c r="H15" i="8" s="1"/>
  <c r="H16" i="8" s="1"/>
  <c r="H27" i="7"/>
  <c r="H28" i="7" s="1"/>
  <c r="H29" i="7" s="1"/>
  <c r="H30" i="7" s="1"/>
  <c r="H31" i="7" s="1"/>
  <c r="H32" i="7" s="1"/>
  <c r="H33" i="7" s="1"/>
  <c r="H34" i="7" s="1"/>
  <c r="H35" i="7" s="1"/>
  <c r="H36" i="7" s="1"/>
  <c r="G23" i="7"/>
  <c r="G22" i="7"/>
  <c r="G18" i="7"/>
  <c r="H14" i="7"/>
  <c r="H15" i="7" s="1"/>
  <c r="H16" i="7" s="1"/>
  <c r="H17" i="7" s="1"/>
  <c r="H4" i="7"/>
  <c r="H5" i="7"/>
  <c r="H6" i="7" s="1"/>
  <c r="H7" i="7" s="1"/>
  <c r="H8" i="7" s="1"/>
  <c r="H9" i="7" s="1"/>
  <c r="H10" i="7" s="1"/>
  <c r="H11" i="7" s="1"/>
  <c r="H12" i="7" s="1"/>
  <c r="H142" i="5"/>
  <c r="H143" i="5" s="1"/>
  <c r="H144" i="5" s="1"/>
  <c r="H145" i="5" s="1"/>
  <c r="H146" i="5" s="1"/>
  <c r="H147" i="5" s="1"/>
  <c r="H148" i="5" s="1"/>
  <c r="H149" i="5" s="1"/>
  <c r="H150" i="5" s="1"/>
  <c r="D9" i="5" s="1"/>
  <c r="G43" i="6"/>
  <c r="G36" i="6"/>
  <c r="G27" i="6"/>
  <c r="G44" i="6" s="1"/>
  <c r="G46" i="6" s="1"/>
  <c r="G19" i="6"/>
  <c r="G12" i="6"/>
  <c r="A44" i="6"/>
  <c r="H129" i="5"/>
  <c r="H130" i="5" s="1"/>
  <c r="H131" i="5" s="1"/>
  <c r="H132" i="5" s="1"/>
  <c r="H133" i="5" s="1"/>
  <c r="H77" i="5"/>
  <c r="H78" i="5" s="1"/>
  <c r="H79" i="5" s="1"/>
  <c r="H80" i="5" s="1"/>
  <c r="H81" i="5" s="1"/>
  <c r="H82" i="5" s="1"/>
  <c r="H49" i="5"/>
  <c r="H50" i="5" s="1"/>
  <c r="H51" i="5" s="1"/>
  <c r="H52" i="5" s="1"/>
  <c r="H53" i="5" s="1"/>
  <c r="F188" i="5"/>
  <c r="F190" i="5" s="1"/>
  <c r="H32" i="5"/>
  <c r="H33" i="5" s="1"/>
  <c r="H34" i="5" s="1"/>
  <c r="H35" i="5" s="1"/>
  <c r="H36" i="5" s="1"/>
  <c r="H37" i="5" s="1"/>
  <c r="H38" i="5" s="1"/>
  <c r="H39" i="5" s="1"/>
  <c r="H40" i="5" s="1"/>
  <c r="H84" i="5"/>
  <c r="H85" i="5" s="1"/>
  <c r="H86" i="5" s="1"/>
  <c r="H87" i="5" s="1"/>
  <c r="H42" i="5"/>
  <c r="H43" i="5" s="1"/>
  <c r="H44" i="5" s="1"/>
  <c r="F27" i="9"/>
  <c r="G23" i="9"/>
  <c r="K18" i="9" s="1"/>
  <c r="K19" i="9" s="1"/>
  <c r="H22" i="8" l="1"/>
  <c r="H23" i="8" s="1"/>
  <c r="H24" i="8" s="1"/>
  <c r="H25" i="8" s="1"/>
  <c r="H26" i="8" s="1"/>
  <c r="H27" i="8" s="1"/>
  <c r="H28" i="8" s="1"/>
  <c r="H29" i="8" s="1"/>
  <c r="H30" i="8" s="1"/>
  <c r="H31" i="8" s="1"/>
  <c r="H18" i="7"/>
  <c r="H19" i="7" s="1"/>
  <c r="H20" i="7" s="1"/>
  <c r="H21" i="7" s="1"/>
  <c r="H22" i="7" s="1"/>
  <c r="H23" i="7" s="1"/>
  <c r="H24" i="7" s="1"/>
  <c r="H25" i="7" s="1"/>
  <c r="H70" i="6"/>
  <c r="H71" i="6" s="1"/>
  <c r="H72" i="6" s="1"/>
  <c r="H73" i="6" s="1"/>
  <c r="H74" i="6" s="1"/>
  <c r="H69" i="6"/>
  <c r="H68" i="6"/>
  <c r="H45" i="5"/>
  <c r="D3" i="5" s="1"/>
  <c r="H49" i="7"/>
  <c r="H50" i="7" s="1"/>
  <c r="H164" i="5"/>
  <c r="H165" i="5" s="1"/>
  <c r="H166" i="5" s="1"/>
  <c r="H167" i="5" s="1"/>
  <c r="H60" i="5"/>
  <c r="H61" i="5" s="1"/>
  <c r="H62" i="5" s="1"/>
  <c r="H88" i="5"/>
  <c r="H89" i="5" s="1"/>
  <c r="H90" i="5" s="1"/>
  <c r="D5" i="5" s="1"/>
  <c r="H75" i="6" l="1"/>
  <c r="H76" i="6" s="1"/>
  <c r="H77" i="6" s="1"/>
  <c r="H78" i="6" s="1"/>
  <c r="H79" i="6" s="1"/>
  <c r="H80" i="6" s="1"/>
  <c r="H81" i="6" s="1"/>
  <c r="H82" i="6" s="1"/>
  <c r="H83" i="6" s="1"/>
  <c r="D12" i="5" s="1"/>
  <c r="I54" i="6"/>
  <c r="H168" i="5"/>
  <c r="H169" i="5" s="1"/>
  <c r="H170" i="5" s="1"/>
  <c r="H171" i="5" s="1"/>
  <c r="H172" i="5" s="1"/>
  <c r="H173" i="5" s="1"/>
  <c r="H174" i="5" s="1"/>
  <c r="H51" i="7"/>
  <c r="H52" i="7" s="1"/>
  <c r="H53" i="7" s="1"/>
  <c r="H54" i="7" s="1"/>
  <c r="H55" i="7" s="1"/>
  <c r="H56" i="7" s="1"/>
  <c r="H57" i="7" s="1"/>
  <c r="H58" i="7" l="1"/>
  <c r="H59" i="7" s="1"/>
  <c r="H60" i="7" s="1"/>
  <c r="H61" i="7" s="1"/>
  <c r="H62" i="7" s="1"/>
  <c r="H63" i="7" s="1"/>
  <c r="H64" i="7" s="1"/>
  <c r="H65" i="7" s="1"/>
  <c r="H66" i="7" s="1"/>
  <c r="H67" i="7" s="1"/>
  <c r="H68" i="7" s="1"/>
  <c r="H69" i="7" s="1"/>
  <c r="H70" i="7" s="1"/>
  <c r="D13" i="5" s="1"/>
  <c r="H175" i="5"/>
  <c r="H176" i="5" s="1"/>
  <c r="H177" i="5" s="1"/>
  <c r="H178" i="5" s="1"/>
  <c r="D15" i="5"/>
  <c r="D10" i="5" l="1"/>
  <c r="H179" i="5"/>
  <c r="H180" i="5" s="1"/>
  <c r="D24" i="5"/>
</calcChain>
</file>

<file path=xl/comments1.xml><?xml version="1.0" encoding="utf-8"?>
<comments xmlns="http://schemas.openxmlformats.org/spreadsheetml/2006/main">
  <authors>
    <author>aldeias</author>
  </authors>
  <commentList>
    <comment ref="G132" authorId="0">
      <text>
        <r>
          <rPr>
            <b/>
            <sz val="9"/>
            <color indexed="81"/>
            <rFont val="Tahoma"/>
            <family val="2"/>
          </rPr>
          <t>aldeias:</t>
        </r>
        <r>
          <rPr>
            <sz val="9"/>
            <color indexed="81"/>
            <rFont val="Tahoma"/>
            <family val="2"/>
          </rPr>
          <t xml:space="preserve">
trocou placa, controle.</t>
        </r>
      </text>
    </comment>
    <comment ref="G145" authorId="0">
      <text>
        <r>
          <rPr>
            <b/>
            <sz val="9"/>
            <color indexed="81"/>
            <rFont val="Tahoma"/>
            <family val="2"/>
          </rPr>
          <t>aldeias:</t>
        </r>
        <r>
          <rPr>
            <sz val="9"/>
            <color indexed="81"/>
            <rFont val="Tahoma"/>
            <family val="2"/>
          </rPr>
          <t xml:space="preserve">
trocou placa, controle.</t>
        </r>
      </text>
    </comment>
  </commentList>
</comments>
</file>

<file path=xl/comments2.xml><?xml version="1.0" encoding="utf-8"?>
<comments xmlns="http://schemas.openxmlformats.org/spreadsheetml/2006/main">
  <authors>
    <author>aldeias</author>
  </authors>
  <commentList>
    <comment ref="G22" authorId="0">
      <text>
        <r>
          <rPr>
            <b/>
            <sz val="9"/>
            <color indexed="81"/>
            <rFont val="Tahoma"/>
            <family val="2"/>
          </rPr>
          <t>aldeias:</t>
        </r>
        <r>
          <rPr>
            <sz val="9"/>
            <color indexed="81"/>
            <rFont val="Tahoma"/>
            <family val="2"/>
          </rPr>
          <t xml:space="preserve">
80,00 POR TENIS</t>
        </r>
      </text>
    </comment>
    <comment ref="G23" authorId="0">
      <text>
        <r>
          <rPr>
            <b/>
            <sz val="9"/>
            <color indexed="81"/>
            <rFont val="Tahoma"/>
            <family val="2"/>
          </rPr>
          <t>aldeias:</t>
        </r>
        <r>
          <rPr>
            <sz val="9"/>
            <color indexed="81"/>
            <rFont val="Tahoma"/>
            <family val="2"/>
          </rPr>
          <t xml:space="preserve">
25,00 CADA CHINELO</t>
        </r>
      </text>
    </comment>
  </commentList>
</comments>
</file>

<file path=xl/comments3.xml><?xml version="1.0" encoding="utf-8"?>
<comments xmlns="http://schemas.openxmlformats.org/spreadsheetml/2006/main">
  <authors>
    <author>aldeias</author>
  </authors>
  <commentList>
    <comment ref="H3" authorId="0">
      <text>
        <r>
          <rPr>
            <b/>
            <sz val="9"/>
            <color indexed="81"/>
            <rFont val="Tahoma"/>
            <family val="2"/>
          </rPr>
          <t>aldeias:</t>
        </r>
        <r>
          <rPr>
            <sz val="9"/>
            <color indexed="81"/>
            <rFont val="Tahoma"/>
            <family val="2"/>
          </rPr>
          <t xml:space="preserve">
crédito que daiane me passou dia 03/11</t>
        </r>
      </text>
    </comment>
    <comment ref="G8" authorId="0">
      <text>
        <r>
          <rPr>
            <b/>
            <sz val="9"/>
            <color indexed="81"/>
            <rFont val="Tahoma"/>
            <family val="2"/>
          </rPr>
          <t>aldeias:</t>
        </r>
        <r>
          <rPr>
            <sz val="9"/>
            <color indexed="81"/>
            <rFont val="Tahoma"/>
            <family val="2"/>
          </rPr>
          <t xml:space="preserve">
de asa foi R$ 158,65</t>
        </r>
      </text>
    </comment>
  </commentList>
</comments>
</file>

<file path=xl/comments4.xml><?xml version="1.0" encoding="utf-8"?>
<comments xmlns="http://schemas.openxmlformats.org/spreadsheetml/2006/main">
  <authors>
    <author>aldeias</author>
  </authors>
  <commentList>
    <comment ref="F3" authorId="0">
      <text>
        <r>
          <rPr>
            <b/>
            <sz val="9"/>
            <color indexed="81"/>
            <rFont val="Tahoma"/>
            <family val="2"/>
          </rPr>
          <t>aldeias:</t>
        </r>
        <r>
          <rPr>
            <sz val="9"/>
            <color indexed="81"/>
            <rFont val="Tahoma"/>
            <family val="2"/>
          </rPr>
          <t xml:space="preserve">
CLAUDIA ME PASSOU ESSA INFORMAÇÃO DIA 06/10/2014 - CRÉDITO DE R$ 576,00</t>
        </r>
      </text>
    </comment>
    <comment ref="H13" authorId="0">
      <text>
        <r>
          <rPr>
            <b/>
            <sz val="9"/>
            <color indexed="81"/>
            <rFont val="Tahoma"/>
            <family val="2"/>
          </rPr>
          <t>aldeias:</t>
        </r>
        <r>
          <rPr>
            <sz val="9"/>
            <color indexed="81"/>
            <rFont val="Tahoma"/>
            <family val="2"/>
          </rPr>
          <t xml:space="preserve">
CLÁUDIA ME PASSOU ESSE SALDO DE 1.138,70 DIA 12/12</t>
        </r>
      </text>
    </comment>
  </commentList>
</comments>
</file>

<file path=xl/comments5.xml><?xml version="1.0" encoding="utf-8"?>
<comments xmlns="http://schemas.openxmlformats.org/spreadsheetml/2006/main">
  <authors>
    <author>aldeias</author>
    <author>adm</author>
  </authors>
  <commentList>
    <comment ref="H4" authorId="0">
      <text>
        <r>
          <rPr>
            <b/>
            <sz val="9"/>
            <color indexed="81"/>
            <rFont val="Tahoma"/>
            <family val="2"/>
          </rPr>
          <t>aldeias:</t>
        </r>
        <r>
          <rPr>
            <sz val="9"/>
            <color indexed="81"/>
            <rFont val="Tahoma"/>
            <family val="2"/>
          </rPr>
          <t xml:space="preserve">
rosangela me passou dia 06/10 esse valor de saldo sem a compra do dia 02.
SALDO DIA 06/10 DE R$ 517,00</t>
        </r>
      </text>
    </comment>
    <comment ref="F23" authorId="1">
      <text>
        <r>
          <rPr>
            <b/>
            <sz val="9"/>
            <color indexed="81"/>
            <rFont val="Tahoma"/>
            <family val="2"/>
          </rPr>
          <t>Robson
Leni ligou avisando que perdeu a requisição. Foi altorizada a compra por telefone.</t>
        </r>
      </text>
    </comment>
  </commentList>
</comments>
</file>

<file path=xl/sharedStrings.xml><?xml version="1.0" encoding="utf-8"?>
<sst xmlns="http://schemas.openxmlformats.org/spreadsheetml/2006/main" count="1220" uniqueCount="555">
  <si>
    <t>ADELIZE</t>
  </si>
  <si>
    <t>DATA LIBERAÇÃO</t>
  </si>
  <si>
    <t>VALOR</t>
  </si>
  <si>
    <t>AUTORIZADO POR</t>
  </si>
  <si>
    <t>SALDO</t>
  </si>
  <si>
    <t>BENEFICIADO</t>
  </si>
  <si>
    <t>REQUISIÇÃO</t>
  </si>
  <si>
    <t>Casa 4</t>
  </si>
  <si>
    <t>Casa 6</t>
  </si>
  <si>
    <t>Casa 3</t>
  </si>
  <si>
    <t>Casa 1</t>
  </si>
  <si>
    <t>Casa 5</t>
  </si>
  <si>
    <t>Casa 2</t>
  </si>
  <si>
    <t>SIDNEY</t>
  </si>
  <si>
    <t xml:space="preserve">DELÍRIOS CONFECÇÕES </t>
  </si>
  <si>
    <t>TEL: 3028-9982</t>
  </si>
  <si>
    <t>2 USAM SUTIA</t>
  </si>
  <si>
    <t>4 MENINOS</t>
  </si>
  <si>
    <t>1 MENINA SUTIA</t>
  </si>
  <si>
    <t>3 MENINAS QUE NÃO USAM SUTIA</t>
  </si>
  <si>
    <t>2 MENINOS</t>
  </si>
  <si>
    <t>3  MENINAS QUE USAM SUTIÃ</t>
  </si>
  <si>
    <t>CASA 7 = 440,00</t>
  </si>
  <si>
    <t>CASA 3 = 400,00</t>
  </si>
  <si>
    <t>CASA 2 = 420,00</t>
  </si>
  <si>
    <t>2 MENINAS USAM SUTIÃ</t>
  </si>
  <si>
    <t>1 QU NÃO USA</t>
  </si>
  <si>
    <t>3 MENINOS</t>
  </si>
  <si>
    <t>1 QUE USA SUTIÃ</t>
  </si>
  <si>
    <t>1 QUE NÃO USA SUTIÃ</t>
  </si>
  <si>
    <t>5 MENINAS QUE USAM SUTIA</t>
  </si>
  <si>
    <t>CASA 1 = 380,00</t>
  </si>
  <si>
    <t>Casa 4 = 340,00</t>
  </si>
  <si>
    <t>2 MENINAS Q NÃO USAM</t>
  </si>
  <si>
    <t>7 MENINAS QUE NÃO USAM</t>
  </si>
  <si>
    <t>15 MENINAS QUE USAM SUTIA</t>
  </si>
  <si>
    <t>CASA 6 = 400,00</t>
  </si>
  <si>
    <t>CASA 5 = 500,00</t>
  </si>
  <si>
    <t>TOTAL DE 38 CRIANÇAS</t>
  </si>
  <si>
    <t>Casa 7</t>
  </si>
  <si>
    <t>gasto realizado até 28/05</t>
  </si>
  <si>
    <t>CAMILA</t>
  </si>
  <si>
    <t>CASA 1 - 100,0</t>
  </si>
  <si>
    <t xml:space="preserve">CASA1 - GLACI </t>
  </si>
  <si>
    <t>1º cheque</t>
  </si>
  <si>
    <t>Compra</t>
  </si>
  <si>
    <t>Aldeias Deve</t>
  </si>
  <si>
    <t>2º cheque</t>
  </si>
  <si>
    <t>SALDO/PGTO REAL</t>
  </si>
  <si>
    <t>17 MENINOS</t>
  </si>
  <si>
    <t>haver p/ mães</t>
  </si>
  <si>
    <t>MARTA / LUZ  - LIBERAÇÕES - OS VALORES ABAIXO NÃO ESTÃO PAGOS</t>
  </si>
  <si>
    <t xml:space="preserve">EVELIN </t>
  </si>
  <si>
    <t>VALOR TOTAL DE COMPRAS DE MAIO/JUNHO ESTÃO QUITADAS</t>
  </si>
  <si>
    <t>LUZ -  ME PASSOU ESSE VALOR DIA 28/05 - MAS FALTA HAVER DE CRÉDITO QUE ELA DEU NA MESMA REQUISIÇÃO PRA MÃES DO VALOR TOTAL JÁ PAGO</t>
  </si>
  <si>
    <t>NOELI - NOVA</t>
  </si>
  <si>
    <t>CASA 3 - VERA</t>
  </si>
  <si>
    <t>CAROL</t>
  </si>
  <si>
    <t>CASA DA SOGRA - ROSANGELA - CRÉDITO DE</t>
  </si>
  <si>
    <t>ANA PAULA</t>
  </si>
  <si>
    <t>ITEM</t>
  </si>
  <si>
    <t>CASA/MÃE/BENEFICADO</t>
  </si>
  <si>
    <t>CASA 4 - VERONICA</t>
  </si>
  <si>
    <t>sandália para luiza</t>
  </si>
  <si>
    <t>CASA 3 - JUCIMARA/VERA</t>
  </si>
  <si>
    <t>ADRIELI</t>
  </si>
  <si>
    <t>CASA 1 - JUCIMARA</t>
  </si>
  <si>
    <t>ALESSANDRO</t>
  </si>
  <si>
    <t>MARTA / LUZ   3028-9982</t>
  </si>
  <si>
    <t>CASA 1 - VITOR/GEOVANA</t>
  </si>
  <si>
    <t>GLACI</t>
  </si>
  <si>
    <t>CASA 1 - EVELIN</t>
  </si>
  <si>
    <t>CASA 1 - GEOVANA / VITOR</t>
  </si>
  <si>
    <t>CASA 01 - EVELIN</t>
  </si>
  <si>
    <t>GLACI - pediu calçados que eles estão sem</t>
  </si>
  <si>
    <t>BETE - pediu calçados pois ele está sem</t>
  </si>
  <si>
    <t>CASA 2 - BETE</t>
  </si>
  <si>
    <t>NORMA</t>
  </si>
  <si>
    <t>CASA 2 - NORMA</t>
  </si>
  <si>
    <t>CASA 02 - BETE</t>
  </si>
  <si>
    <t>JONAS</t>
  </si>
  <si>
    <t>CASA 7 - DONCHARLES / ISABELA</t>
  </si>
  <si>
    <t>CALÇADOS DE VERÃO</t>
  </si>
  <si>
    <t>DONCHARLES - BERMUDAS DE VERÃO</t>
  </si>
  <si>
    <t>CASA 07 - LENI</t>
  </si>
  <si>
    <t>ISABELA</t>
  </si>
  <si>
    <t>CASA 04 - VERONICA</t>
  </si>
  <si>
    <t>4 CRIANÇAS - ROUPAS VERÃO</t>
  </si>
  <si>
    <t>SALDO DE 2013</t>
  </si>
  <si>
    <t>CRÉDITO DE 2014</t>
  </si>
  <si>
    <t>ROBSON</t>
  </si>
  <si>
    <t>SEDE/ANDREA</t>
  </si>
  <si>
    <t>01 - GLACI</t>
  </si>
  <si>
    <t>03 - VERA</t>
  </si>
  <si>
    <t>04 - MARIA VERONICA</t>
  </si>
  <si>
    <t>05- NIUZA</t>
  </si>
  <si>
    <t>06 - GERCINA</t>
  </si>
  <si>
    <t>07 - MARIA LENI</t>
  </si>
  <si>
    <t>UTENSILIOS DOMÉSTICOS</t>
  </si>
  <si>
    <t>03/11/2014</t>
  </si>
  <si>
    <t>CASA 01 - GLACI</t>
  </si>
  <si>
    <t>ARLINE - 3 CRIANÇAS NOVAS</t>
  </si>
  <si>
    <t>GASTOS ATÉ 10/11</t>
  </si>
  <si>
    <t>CRÉDITO EM 10/11/2014</t>
  </si>
  <si>
    <t>PGTO PARA FREITAS DIA 11/06/2014</t>
  </si>
  <si>
    <t>CATARATAS MAT. DE CONSTRUÇÃO 3523-2267 - Freitas (Dono)  Ivani (financeiro)</t>
  </si>
  <si>
    <t>Atualizado dia</t>
  </si>
  <si>
    <t>CASA</t>
  </si>
  <si>
    <t>CRÉDITOS - COMPRAS</t>
  </si>
  <si>
    <t>CUIDADORA</t>
  </si>
  <si>
    <t>Saldo Crédito anterior: R$ 45,00 + Pgto dia 10/11/14 R$ 940,00 = Crédito total de R$ 985,00</t>
  </si>
  <si>
    <t>LOCAL</t>
  </si>
  <si>
    <t>NIUZA</t>
  </si>
  <si>
    <t>WELLIGTON - ROUPA P/ ENTREVISTA</t>
  </si>
  <si>
    <t>4 GUARDA-CHUVAS</t>
  </si>
  <si>
    <t>6 GUARDA-CHUVAS</t>
  </si>
  <si>
    <t>VERONICA</t>
  </si>
  <si>
    <t xml:space="preserve">VERA </t>
  </si>
  <si>
    <t>CARLA</t>
  </si>
  <si>
    <t>VERA</t>
  </si>
  <si>
    <t>DÍVIDA ANTERIOR</t>
  </si>
  <si>
    <t>PGTO DIA 10/11/2014 CHEQUE 1434</t>
  </si>
  <si>
    <r>
      <t xml:space="preserve">PGTO DIA 10/11/2014 CHEQUE 1431 </t>
    </r>
    <r>
      <rPr>
        <b/>
        <sz val="10"/>
        <color theme="8" tint="-0.499984740745262"/>
        <rFont val="Arial"/>
        <family val="2"/>
      </rPr>
      <t xml:space="preserve"> (3º cheque)</t>
    </r>
  </si>
  <si>
    <t>PGTO VIA CHEQUE 1437 DE 12/11/2014</t>
  </si>
  <si>
    <t xml:space="preserve">  </t>
  </si>
  <si>
    <t>GASTOS ATÉ DIA 12/11</t>
  </si>
  <si>
    <t>PGTO JUNHO/2014</t>
  </si>
  <si>
    <t>PGTO DIA 11/11/2014 CHEQUE 1436 R$ 1.004,75</t>
  </si>
  <si>
    <t>Atualizado dia junto com Sr. Leonardo.</t>
  </si>
  <si>
    <t>TOTAL DE CRÉDITO DIA 13/11/2014</t>
  </si>
  <si>
    <t>PGTO PARA FREITAS VIA BOLETO DIA 13/11/2014</t>
  </si>
  <si>
    <t>CASA 01/GLACI/ARLINE</t>
  </si>
  <si>
    <t>FOZ COLOR</t>
  </si>
  <si>
    <t>FOTOS</t>
  </si>
  <si>
    <t>02 - MARIZA</t>
  </si>
  <si>
    <t>SAMIA</t>
  </si>
  <si>
    <t>MARIA LENI</t>
  </si>
  <si>
    <t>DONCHARLES - FORMATURA</t>
  </si>
  <si>
    <t>SAMIA - FORMATURA</t>
  </si>
  <si>
    <t>LENI</t>
  </si>
  <si>
    <t>DONCHARLES - FORMATURA E LUCAS (criança nova)</t>
  </si>
  <si>
    <t>ANDERSON PROJETO DE ASA</t>
  </si>
  <si>
    <t xml:space="preserve">COMPROU EM </t>
  </si>
  <si>
    <t xml:space="preserve"> </t>
  </si>
  <si>
    <t xml:space="preserve">                                                     </t>
  </si>
  <si>
    <t>OK</t>
  </si>
  <si>
    <t>MEGA FOZ INFORMÁTICA - JESSICA FINANCEIRO = 3572-5003 (RODRIGO/JEFERSON - TÉCNICOS  -- PGTO EFETUADO EM 04/12/14 DE R$ 1.300,00</t>
  </si>
  <si>
    <t>SAMIRA / SARA / JEFERSON / ISAIAS - LUISA - FERNANDO</t>
  </si>
  <si>
    <t>EVANGELISTA</t>
  </si>
  <si>
    <t>ISABELA / ELIAS</t>
  </si>
  <si>
    <t>KARINE / PAMELA</t>
  </si>
  <si>
    <t>MAKROPEL - DAIANE-ENCOPEL PASSOU QUE TEM CRÉDITO DE R$ 1.485,69 DIA 16/09/2014 -- DAIANE 03/11 ME PASSOU R$ 480,20 + PGTOS 13/11 e 03/12 de R$  4.829,51</t>
  </si>
  <si>
    <t>PAPEL DE PRESENTE - VISITA INTERNACIONAL</t>
  </si>
  <si>
    <t>Kelly me passou o crédito de R$ 3.965,25 dia 12/12/2014</t>
  </si>
  <si>
    <t>PGTO DIA 08/12/2014 - ONLINE - R$ 1.480,60 - ABATIDA A DÍVIDA ANTERIOR O CRÉDITO EM 12/12/2014 É DE R$ 1.138,70</t>
  </si>
  <si>
    <t>NICOLAS - MARIO - HERNAN - RAYANE - ERICK - VINICIUS</t>
  </si>
  <si>
    <t>GERCINA</t>
  </si>
  <si>
    <t>ADRIANO - ANA PAULA - ADRIELI - ALESSANDRO</t>
  </si>
  <si>
    <t>PAULO - ESTER - GABRIELI - CRIANÇAS NOVAS</t>
  </si>
  <si>
    <t>MARIZA</t>
  </si>
  <si>
    <t>NORMA - LARISSA - JONAS - BRUNO - DANILO.</t>
  </si>
  <si>
    <t>ARLINE/Fernando/Fernanda - 3 CRIANÇAS NOVAS</t>
  </si>
  <si>
    <t>ARLINE / FERNANDO / FERNANDA / EVELIN / CRIS</t>
  </si>
  <si>
    <t>(VITOR NÃO PRECISA - GLACI ME DISSE 17/12)</t>
  </si>
  <si>
    <t>ERICK - RAIANE - VINICIUS</t>
  </si>
  <si>
    <t>ADRIANO DE OLIVEIRA (criança nova)</t>
  </si>
  <si>
    <r>
      <t xml:space="preserve">WELIGTON - </t>
    </r>
    <r>
      <rPr>
        <sz val="10"/>
        <color theme="1"/>
        <rFont val="Arial"/>
        <family val="2"/>
      </rPr>
      <t>ANDRIELI - GABRIELI</t>
    </r>
  </si>
  <si>
    <t>Leni ligou avisando que perdeu a requisição. Foi altorizada a compra por telefone.</t>
  </si>
  <si>
    <t>JAQUIELI</t>
  </si>
  <si>
    <t>JAQUIELI CRIANÇA NOVA</t>
  </si>
  <si>
    <t>DANILO - ANDREIA (casa do Danilo)</t>
  </si>
  <si>
    <t>utensílios domésticos/hig.limp</t>
  </si>
  <si>
    <t>ADELIZE - LIXEIRAS PARA ALINE E GABRIELA</t>
  </si>
  <si>
    <t>CASAS</t>
  </si>
  <si>
    <t>MOCHILAS ESCOLARES PARA TODAS AS CRIANÇAS</t>
  </si>
  <si>
    <t>ATÉ 2014</t>
  </si>
  <si>
    <t>Doncharles / Elias</t>
  </si>
  <si>
    <t>Crislaine / Karine / Pamela</t>
  </si>
  <si>
    <t>LENI - CHINELO</t>
  </si>
  <si>
    <t>LENI - TENIS/CHINELO</t>
  </si>
  <si>
    <t>ANDERSON - COMPRA DE MATERIAL ESCOLAR</t>
  </si>
  <si>
    <t>PARA TODAS AS CRIANÇAS</t>
  </si>
  <si>
    <t>WELLIGTON</t>
  </si>
  <si>
    <t>NIUZA - CHINELO</t>
  </si>
  <si>
    <t>LENI - CHINELO/CALÇADO</t>
  </si>
  <si>
    <t>PAULO HENRIQUE / ANA PAULA (NOVOS)</t>
  </si>
  <si>
    <t>(algumas meninas estão precisando - crislaine e crianças novas)</t>
  </si>
  <si>
    <t>CASA 02</t>
  </si>
  <si>
    <t>comprar travessas e copos</t>
  </si>
  <si>
    <t>liberado para leni - casa 05</t>
  </si>
  <si>
    <t>MEGA SECURITY</t>
  </si>
  <si>
    <t>Conserto portão</t>
  </si>
  <si>
    <t>Sede</t>
  </si>
  <si>
    <t>José Moura</t>
  </si>
  <si>
    <t>Casa 05</t>
  </si>
  <si>
    <t>Conserto interfone portão</t>
  </si>
  <si>
    <t>CLAUDIA</t>
  </si>
  <si>
    <t>VERÔNICA - CHINELOS</t>
  </si>
  <si>
    <t>GLACI - TÊNIS E CHINELOS</t>
  </si>
  <si>
    <t>FERNANDA E FERNANDA - TENNIS/ HERICK - CHINELO</t>
  </si>
  <si>
    <t>MARTA (ADOLESCENTE NOVA)</t>
  </si>
  <si>
    <t>ANDERSON - MATERIAL PARA LEMBRANÇAS DAS CUIDADORAS</t>
  </si>
  <si>
    <t>DIA DAS MÃES</t>
  </si>
  <si>
    <t xml:space="preserve">ANDERSON - </t>
  </si>
  <si>
    <t>Sara e Luiza</t>
  </si>
  <si>
    <t>DESCONTÃO - TELEFONE: 3523-0742 - RESPONSÁVEL:   MUDI</t>
  </si>
  <si>
    <t>CASA 01</t>
  </si>
  <si>
    <t>CASA 03</t>
  </si>
  <si>
    <t>CASA 04</t>
  </si>
  <si>
    <t>CASA 05</t>
  </si>
  <si>
    <t>ERIK RAFAEL MOTELEVICZ PEREIRA</t>
  </si>
  <si>
    <t>EVELIN LAY SÁLVIA</t>
  </si>
  <si>
    <t>ARLINE MARCELA TITON</t>
  </si>
  <si>
    <t>RAYANE VITÓRIA MOTELEVICZ DOS SANTOS</t>
  </si>
  <si>
    <t>FERNANDA DA ROSA TITON</t>
  </si>
  <si>
    <t>FERNANDO DA ROSA TITON</t>
  </si>
  <si>
    <t>VINICIUS GABRIEL MOTELEVICZ PEREIRA</t>
  </si>
  <si>
    <t>JAQUIELY DOS SANTOS FERREIRA</t>
  </si>
  <si>
    <t>NORMA CRISTINA PEREIRA DA SILVA</t>
  </si>
  <si>
    <t>THANIA NOEMI VAZQUEZ DA SILVA</t>
  </si>
  <si>
    <t>MARTA</t>
  </si>
  <si>
    <t>NICOLAS</t>
  </si>
  <si>
    <t>ANA PAULA MATHEUS PEREIRA</t>
  </si>
  <si>
    <t>ADRIELE SANTOS MIGLIOLI</t>
  </si>
  <si>
    <t>ALESSANDRO MACHADO</t>
  </si>
  <si>
    <t>ADRIANO DE OLIVEIRA MAIDANA</t>
  </si>
  <si>
    <t>ALISSON DE OLIVEIRA</t>
  </si>
  <si>
    <t>ANDRIELE FERNANDES DOS SANTOS</t>
  </si>
  <si>
    <t>WELLINGTON BARBOSA SANTANA</t>
  </si>
  <si>
    <t>JEFERSON RENATO DA SILVA</t>
  </si>
  <si>
    <t>LUIZA LEIDIANE DA SILVA ANDRADE</t>
  </si>
  <si>
    <t>NOELI DA SILVA ANDRADE</t>
  </si>
  <si>
    <t>SAMIA LUIZA MOTTA AZSRAD</t>
  </si>
  <si>
    <t>SAMIRA VITÓRIA MOTTA</t>
  </si>
  <si>
    <t>SARA SANTOS MOTTA</t>
  </si>
  <si>
    <t>KARINE ALVES DE OLIVEIRA</t>
  </si>
  <si>
    <t>PAMELA REGIANE AKCHUM DE OLIVEIRA</t>
  </si>
  <si>
    <t xml:space="preserve">CRISLAINE COLOGIS DE OLIVEIRA </t>
  </si>
  <si>
    <t>ANA PAULA TEIXEIRA AZEVEDO</t>
  </si>
  <si>
    <t>PAULO HENRIQUE TEIXEIRA</t>
  </si>
  <si>
    <t>TOTAL</t>
  </si>
  <si>
    <t>LISTA ATUALIZADA DIA 10-03-2015 - ADELIZE/ANDERSON</t>
  </si>
  <si>
    <t>TOTAL CASAS</t>
  </si>
  <si>
    <t>PARA ESTOQUE</t>
  </si>
  <si>
    <t>TOTAL DE LIBERAÇÕES</t>
  </si>
  <si>
    <t>COMPRAS FEITA POR ADELIZE/CLÁUDIA</t>
  </si>
  <si>
    <t>SEXTA DIA 13</t>
  </si>
  <si>
    <t>MARIA LENI SÁBADO DIA 14 -PARTE DA MANHÃ</t>
  </si>
  <si>
    <t>MARIA VERONICA</t>
  </si>
  <si>
    <t>A TARDE -</t>
  </si>
  <si>
    <t>JONAS HENRIQUE - Marisa disse q Jonas não precisa - só precisa de calçado.</t>
  </si>
  <si>
    <t>ATÉ QUARTA QUE VEM.</t>
  </si>
  <si>
    <t>celia aparecida carlos carlos &lt;celia.carloss@hotmail.com&gt;</t>
  </si>
  <si>
    <t>seg 02/03/2015 15:57</t>
  </si>
  <si>
    <t>Caixa de entrada</t>
  </si>
  <si>
    <t>Para:</t>
  </si>
  <si>
    <t>Adelize de Oliveira;</t>
  </si>
  <si>
    <t>Boa tarde Adelize,</t>
  </si>
  <si>
    <t>Até amanha, faço sua cotação</t>
  </si>
  <si>
    <t>Tenho 02  a terceira  em calçados vou tentar.</t>
  </si>
  <si>
    <t>O valor usado até agora é 1.545,00</t>
  </si>
  <si>
    <t>Valor da nf 4.187,80</t>
  </si>
  <si>
    <t>Sendo que tem haver 2.642,00</t>
  </si>
  <si>
    <t>Desculpa a demora, estou com minha filha gestante tendo uns probleminhas</t>
  </si>
  <si>
    <t>Amanhã entro em contato.</t>
  </si>
  <si>
    <t>Att,</t>
  </si>
  <si>
    <t>Célia </t>
  </si>
  <si>
    <t>Célia q passou.</t>
  </si>
  <si>
    <t>MARISA</t>
  </si>
  <si>
    <t>ANDERSON - CADERNO DE ARTE</t>
  </si>
  <si>
    <t>JAQUIELY</t>
  </si>
  <si>
    <t>ROBSON - PASTAS E MATERIAL PEDAGÓGICO</t>
  </si>
  <si>
    <t>MÃES SOCIAIS E SEDE</t>
  </si>
  <si>
    <t>PAGAMENTO TOTAL DIA 30/03/2014</t>
  </si>
  <si>
    <t>2 CRIANÇAS NOVAS</t>
  </si>
  <si>
    <t>2 - CRIANÇAS NOVAS</t>
  </si>
  <si>
    <t>CASA 05 - LENI</t>
  </si>
  <si>
    <t>CASA 04 - NIUZA</t>
  </si>
  <si>
    <t>1 CRIANÇA NOVA</t>
  </si>
  <si>
    <t>CASA 02 - MARISA</t>
  </si>
  <si>
    <t>NOVAS LIBERAÇÕES</t>
  </si>
  <si>
    <t>ao longo dos meses</t>
  </si>
  <si>
    <t>confirmei esse valor dia.17/04 com a Jessica.</t>
  </si>
  <si>
    <t>josé</t>
  </si>
  <si>
    <t>ivani me passou esse valor dia 29-04-2015</t>
  </si>
  <si>
    <t>VISITA TÉCNICA - INST. MOZILA 4 MÁQUINAS (40,00 CADA)</t>
  </si>
  <si>
    <t>ANDERSON MATERIAL PEDAGÓGICO</t>
  </si>
  <si>
    <t>SEDE/CASAS LARES</t>
  </si>
  <si>
    <t>1 - CRIANÇA NOVA-HUDSON</t>
  </si>
  <si>
    <t xml:space="preserve">conserto portão casa 04 - veronica - </t>
  </si>
  <si>
    <t>pedimos para Macario dia 13/05/15</t>
  </si>
  <si>
    <t>01 ADOLESCENTE - VIAGEM - KARINE</t>
  </si>
  <si>
    <t>01 CRIANÇA - VIAGEM - EVELIN</t>
  </si>
  <si>
    <t xml:space="preserve">conserto portão casa 02 - mariza - </t>
  </si>
  <si>
    <t>Conserto controle portão</t>
  </si>
  <si>
    <t>Daiane me passou o crédito de R$ 889,49 dia 14/05/2015</t>
  </si>
  <si>
    <t>MARIA VERÔNICA</t>
  </si>
  <si>
    <t>PGTO DIA 18/05/2015 CHEQUE 1543</t>
  </si>
  <si>
    <t>SALDO DE</t>
  </si>
  <si>
    <t>01 CRIANÇA - IZAQUEU</t>
  </si>
  <si>
    <t>01 - IZAQUEU</t>
  </si>
  <si>
    <t>01 - HUDSON</t>
  </si>
  <si>
    <t>ROBSON - PASTA</t>
  </si>
  <si>
    <t>SEDE</t>
  </si>
  <si>
    <t>ABRIL</t>
  </si>
  <si>
    <t>01 MUDANÇA</t>
  </si>
  <si>
    <t>2 corridas para o lixão EM TODAS AS CASAS</t>
  </si>
  <si>
    <t>FRETE HOTEL DA NANCY</t>
  </si>
  <si>
    <t>PGTO DIA  25/05/2015 - CHEQUE 1548 = 1.334,00</t>
  </si>
  <si>
    <t>BOLSA DE VIAGEM</t>
  </si>
  <si>
    <t>GUARDA-CHUVA</t>
  </si>
  <si>
    <t>RONALDO FARÁ ESSES VALORES:</t>
  </si>
  <si>
    <t>LENI - KARINE DESACOLHIMENTO</t>
  </si>
  <si>
    <t>BOLSA PARA VIAGEM</t>
  </si>
  <si>
    <t xml:space="preserve"> CLAUDIA</t>
  </si>
  <si>
    <t>GUARDA-CHUVAS</t>
  </si>
  <si>
    <t>VERÔNICA</t>
  </si>
  <si>
    <t>02 BOLSAS PARA VIAGEM</t>
  </si>
  <si>
    <t>02 CRIANÇAS - MATEUS E ISMAEL</t>
  </si>
  <si>
    <t>02 ACOLHIMENTOS - CRISTINA E JOÃO</t>
  </si>
  <si>
    <t>02 - CRISTINA E JOÃO</t>
  </si>
  <si>
    <t>02 CRIANÇAS - LUÍSA E FERNANDO</t>
  </si>
  <si>
    <t>FFC</t>
  </si>
  <si>
    <t>2 BOLSAS PROJETOR E NOTE</t>
  </si>
  <si>
    <t>Dia 12/06/2015 confirmei com Ivone esses gastos e o valor do saldo de R$ 704,00</t>
  </si>
  <si>
    <t>SALDO EM 25/05/2015</t>
  </si>
  <si>
    <t>NÃO TEM CRÉDITO</t>
  </si>
  <si>
    <t>15/05 Daiane me passou que temos  4.687,16</t>
  </si>
  <si>
    <t>CASAS LARES</t>
  </si>
  <si>
    <t>PRILLU</t>
  </si>
  <si>
    <t>NIUZA/VERA</t>
  </si>
  <si>
    <t>02 - MATEUS E ISMAEL</t>
  </si>
  <si>
    <t>DÍVIDA ANTERIOR'</t>
  </si>
  <si>
    <t>VALOR DOS SERVIÇOS ATÉ ABRIL-2015 (Levantamentos e consertos elétricos)</t>
  </si>
  <si>
    <t>MONTEIRO - PARTE ELÉTRICA DAS CASAS - PGTO VIA CHEQUE  1545  -- DIA 18/05/2015 - R$ 2.500,00</t>
  </si>
  <si>
    <t>esse é o valor real gasto - não ficou crédito</t>
  </si>
  <si>
    <t>COMPROMETIDO COM PROJETO DÊ ASA - ANDERSON QUE PASSOU VALOR DIA 22-06-2015</t>
  </si>
  <si>
    <t>BAIXA DE CRÉDITO NA ENCOPRINT DO MATERIAL GRÁFICO</t>
  </si>
  <si>
    <t>PGTO EM OUTUBRO DE R$ 4.300,00</t>
  </si>
  <si>
    <t>CRIANÇAS</t>
  </si>
  <si>
    <t>LEONARDO SERGEL - FOZ COLOR TELEFONE: 3523-5011</t>
  </si>
  <si>
    <t>25/06/2015 = por telefone Jean (vendedor) disse que temos de crédito é de R$ 662,34</t>
  </si>
  <si>
    <t>25/06/2015 = por telefone Sr. Leonardo disse que temos R$ 808,00   de crédito.</t>
  </si>
  <si>
    <r>
      <rPr>
        <b/>
        <sz val="10"/>
        <color rgb="FFFF0000"/>
        <rFont val="Arial"/>
        <family val="2"/>
      </rPr>
      <t>SR. LEONARDO DISSE QUE FOI GASTO ATÉ 25/06/2015 O VALOR TOTAL DE R$ 489,90</t>
    </r>
    <r>
      <rPr>
        <sz val="10"/>
        <color theme="1"/>
        <rFont val="Arial"/>
        <family val="2"/>
      </rPr>
      <t xml:space="preserve"> - RESTANDO ENTÃO</t>
    </r>
    <r>
      <rPr>
        <b/>
        <sz val="10"/>
        <color rgb="FFFF0000"/>
        <rFont val="Arial"/>
        <family val="2"/>
      </rPr>
      <t xml:space="preserve"> R$</t>
    </r>
    <r>
      <rPr>
        <b/>
        <sz val="10"/>
        <color theme="4"/>
        <rFont val="Arial"/>
        <family val="2"/>
      </rPr>
      <t xml:space="preserve"> 808,00 DE CRÉDITO</t>
    </r>
  </si>
  <si>
    <t>FFC - TÉRMICA/POTES/</t>
  </si>
  <si>
    <t>para funcriança</t>
  </si>
  <si>
    <t>PAGAMENTO REALIZADO DIA 25-06 COM O CHEQUE 1568 NO VALOR DE R$ 1260,00</t>
  </si>
  <si>
    <t>VALOR DE OUTROS SERVIÇOS CASA 4, 5 E ANTIGA CASA 01</t>
  </si>
  <si>
    <t>Informação atualizada em 29/06/2015.</t>
  </si>
  <si>
    <t>MOCHILAS ESCOLARES ANDERSON - para 4 crianças novas e mais 4 de reserva</t>
  </si>
  <si>
    <t>Jéssica ligou no dia 07/07/2015 e passou o valor de R$ 1.565,00 de crédito.</t>
  </si>
  <si>
    <t xml:space="preserve">PGTO DIA 02/06/2015- CHEQUE 1559 = R$ 1.740,00    </t>
  </si>
  <si>
    <r>
      <rPr>
        <b/>
        <sz val="15"/>
        <color theme="1"/>
        <rFont val="Arial"/>
        <family val="2"/>
      </rPr>
      <t>CASA VITÓRIA</t>
    </r>
    <r>
      <rPr>
        <b/>
        <sz val="10"/>
        <color theme="1"/>
        <rFont val="Arial"/>
        <family val="2"/>
      </rPr>
      <t xml:space="preserve">  3028-9939 - CLAUDIA FINANCEIRO  --  VENDEDOR JEAN</t>
    </r>
  </si>
  <si>
    <t>NOVO CRÉDITO DE:</t>
  </si>
  <si>
    <t>Crédito confirmado com Katia da Casa Vitoria dia 09/07/2015</t>
  </si>
  <si>
    <t>Toda a dívida com freitas até o dia 07/07/2015 foi toda paga com recursos próprios. Adelize.julho-2015</t>
  </si>
  <si>
    <t>TOTAL DE CRÉDITO EM JUNHO/2015</t>
  </si>
  <si>
    <t>ANDERSON Q COMPROU - MATERIAL ESCOLAR Q FALTAVA PARA CRIANÇAS</t>
  </si>
  <si>
    <t>01 - CRIANÇA NOVA MATHEUS</t>
  </si>
  <si>
    <t>LEONARDO SERGEL - FOZ COLOR</t>
  </si>
  <si>
    <t>RESUMO DE SALDOS</t>
  </si>
  <si>
    <t>FORNECEDOR</t>
  </si>
  <si>
    <t>DATA DA ULTIMA ATUALIZAÇÃO</t>
  </si>
  <si>
    <t>CATARATAS MAT. CONSTRUÇÃO - FREITAS</t>
  </si>
  <si>
    <t>RONALDO SCARIOT - BOLSAS/MOCHILAS ESCOLARES</t>
  </si>
  <si>
    <t>PRILLU ACESSÓRIOS 3572-5817-  RONALDO SCARIOT (dono) - Ivone (que fica no caixa e na loja)</t>
  </si>
  <si>
    <t>MEGA FOZ INFORMÁTICA</t>
  </si>
  <si>
    <t>MÁCARIO FEZ DIVERSOS CONSERTOS - NÃO SEI EXATAMENTE EM QUAIS CASAS - A  ELISANGELA DA MEGA SECURITY FICOU DE ME PASSAR O VALOR TOTAL QUE DEVEMOS - JÁ ENTREGUEI AS COTAÇÕES PRA ELA.</t>
  </si>
  <si>
    <t>MONTEIRO</t>
  </si>
  <si>
    <t>DIAS - CARRO</t>
  </si>
  <si>
    <t>DIAS CARRO</t>
  </si>
  <si>
    <t>FREITAS</t>
  </si>
  <si>
    <t>ATUALIZADO DIA 07/07/2015</t>
  </si>
  <si>
    <t>VALOR  LIBERADO</t>
  </si>
  <si>
    <t>SALDO DE:</t>
  </si>
  <si>
    <t>DESCONTÃO - MUDI</t>
  </si>
  <si>
    <t>DEVENDO PARA MUDI ABRIL-MAIO-JUNHO/2015</t>
  </si>
  <si>
    <t>MAX CALÇADOS</t>
  </si>
  <si>
    <t>ATUALIZADO DIA</t>
  </si>
  <si>
    <t>DELÍRIOS - ROUPAS ÍNTIMAS</t>
  </si>
  <si>
    <t>Marta disse que há 754,50 de crédito.</t>
  </si>
  <si>
    <t>DATA ULTIMA ATUALIZAÇÃO</t>
  </si>
  <si>
    <t>MAKROPEL</t>
  </si>
  <si>
    <t>COMPROMETIDO DO CRÉDITO DE 2015 - PRECISA DEIXAR EM MÉDIA R$ 3.000,00 PARA                                                                                  GASTAR COM MATERIAL ESCOLAR NO COMEÇO DE 2016.</t>
  </si>
  <si>
    <t>CASA VITÓRIA</t>
  </si>
  <si>
    <t>PAGAMENTO PMFI - BOLETO - DIA 13/07/2015 R$ 1.169,70</t>
  </si>
  <si>
    <t>PAGAMENTO FUNCRIANÇA - BOLETO - DIA 13/07/2015  R$ 498,80</t>
  </si>
  <si>
    <t>DATA DA ULTIMA ATUALIZAÇÃO GERAL:</t>
  </si>
  <si>
    <t>TOTAL DE CRÉDITO</t>
  </si>
  <si>
    <t>02 - VITÓRIA E CRISLAINE</t>
  </si>
  <si>
    <t>PGTO FEITO DIA 16/07/2015 COM CHEQUE 1581 DE R$  2600,74</t>
  </si>
  <si>
    <t>SALDO ATUALIZADO EM 16/07/2015 DE:</t>
  </si>
  <si>
    <t>01 - MATHEUS (CRIANÇA NOVA)</t>
  </si>
  <si>
    <t>CASA 01/EVELYN</t>
  </si>
  <si>
    <t>FOTO 3X4</t>
  </si>
  <si>
    <t>02 - KETLIN E VITÓRIA</t>
  </si>
  <si>
    <t>DOBLÔ - TROCA DE ÓLEO E LUZ INJEÇÃO</t>
  </si>
  <si>
    <t>MEGA SECURITY - MANUTENÇÃO E CONSERVAÇÃO DE BENS IMÓVEIS</t>
  </si>
  <si>
    <t>VALOR REPASSADO NO DIA 17/07/2015</t>
  </si>
  <si>
    <t>ANDREIA - 02 SUPORTES PAPEL TOALHA PARA BANHEIRO</t>
  </si>
  <si>
    <t>ANDERSON - CARTELAS DE BINGO</t>
  </si>
  <si>
    <t>MARLI LÚCIA</t>
  </si>
  <si>
    <t>02 - FERNANDO E ARLINE</t>
  </si>
  <si>
    <t>ATUALIZADO EM 29/07/2015. CLAUDIA</t>
  </si>
  <si>
    <t xml:space="preserve">BOLSA PARA VIAGEM </t>
  </si>
  <si>
    <t>FORTALECIMENTO</t>
  </si>
  <si>
    <t>VERIFICAÇÃO NOTEBOOK</t>
  </si>
  <si>
    <t>CASA 01 - UTENSÍLIOS DE UTILIDADES DOMÉSTICA</t>
  </si>
  <si>
    <t>CASA 05 - UTENSÍLIOS DE UTILIDADES DOMÉSTICA</t>
  </si>
  <si>
    <t>CASA 04 - UTENSÍLIOS DE UTILIDADES DOMÉSTICA</t>
  </si>
  <si>
    <t>CASA 03 - UTENSÍLIOS DE UTILIDADES DOMÉSTICA</t>
  </si>
  <si>
    <t>CASA 02 - UTENSÍLIOS DE UTILIDADES DOMÉSTICA</t>
  </si>
  <si>
    <t>GOL - CV</t>
  </si>
  <si>
    <t>DOBLÔ - CS</t>
  </si>
  <si>
    <t>DOBLÔ</t>
  </si>
  <si>
    <t>Dia 13/08 Eliane disse que nossa dívida anterior era de R$ 299,00 ao invés de 259,00. Claudia</t>
  </si>
  <si>
    <t xml:space="preserve">UTENSÍLIOS DOMÉSTICOS </t>
  </si>
  <si>
    <t>GOL - PASTILHA DE FREIO</t>
  </si>
  <si>
    <t>ANDERSON - MATERIAL ESCOLAR</t>
  </si>
  <si>
    <t xml:space="preserve">01 - Nicolas </t>
  </si>
  <si>
    <t>NOTEBOOK SIDNEY</t>
  </si>
  <si>
    <t>01 - ÉRICK</t>
  </si>
  <si>
    <t>01 - ADRIELE</t>
  </si>
  <si>
    <t>01- Carlos e Giovani</t>
  </si>
  <si>
    <t>03 - GIOVANI, CARLOS E JUAN</t>
  </si>
  <si>
    <t>CLAUDIA - FOLHAS SULFITE</t>
  </si>
  <si>
    <t>ANDERSON - ENCOPEL</t>
  </si>
  <si>
    <t>ANDERSON - MAKROPEL</t>
  </si>
  <si>
    <t>CILINDRO MESTRE/FLUÍDO FREIOS</t>
  </si>
  <si>
    <t>CARIMBOS</t>
  </si>
  <si>
    <t>TÉCNICOS</t>
  </si>
  <si>
    <t>PCS</t>
  </si>
  <si>
    <t>02- Gêmeos</t>
  </si>
  <si>
    <t>MARLI</t>
  </si>
  <si>
    <t>ANDRÉ</t>
  </si>
  <si>
    <t>03 - NICOLAS, CARLOS E JUAN</t>
  </si>
  <si>
    <t>01 NICOLAS</t>
  </si>
  <si>
    <t>INSTALAÇÃO IMPRESSORA COLORIDA</t>
  </si>
  <si>
    <t>PCS - ADM E TÉCNICOS</t>
  </si>
  <si>
    <t>06 - CRIANÇAS CASA 03</t>
  </si>
  <si>
    <t>VALÉRIA</t>
  </si>
  <si>
    <t>01 - CRIANÇA CASAS 03</t>
  </si>
  <si>
    <t>04 - CRIANÇA CASAS 03</t>
  </si>
  <si>
    <t>01 - NICOLAS IGOR</t>
  </si>
  <si>
    <t>SERVIÇOS CASAS 01 E 03</t>
  </si>
  <si>
    <t>atualizado o dia 03/12/2015</t>
  </si>
  <si>
    <t>TRAVA FECHADURA DOBLÔ</t>
  </si>
  <si>
    <t>TROCA ROLAMENTO COMPRESSOR GOL</t>
  </si>
  <si>
    <t>AMORTECEDORES FFC</t>
  </si>
  <si>
    <t>AMORTECEDORES</t>
  </si>
  <si>
    <t>PAGAMENTO NO VALOR DE R$ 6.751,79 NO DIA 03-12-2015. CLAUDIA</t>
  </si>
  <si>
    <t>FREIO GOL</t>
  </si>
  <si>
    <t>SAVEIRO - CORREIA DENTADA, CORREIA ROLAMENTOS</t>
  </si>
  <si>
    <t>DOBLÔ TROCA DE ÓLEOS</t>
  </si>
  <si>
    <t>-</t>
  </si>
  <si>
    <t>DUCHA + CONECTOR</t>
  </si>
  <si>
    <t xml:space="preserve">CASA 02 </t>
  </si>
  <si>
    <t>LAMPADAS</t>
  </si>
  <si>
    <t>RESISTÊNCIA CHUVEIRO</t>
  </si>
  <si>
    <t>CHUVEIRO</t>
  </si>
  <si>
    <t>01 - JOÃO PEDRO</t>
  </si>
  <si>
    <t>02 CRIANÇAS</t>
  </si>
  <si>
    <t>PAGAMENTO REALIZADO EM 09 DE DEZEMBRO DE 2015</t>
  </si>
  <si>
    <t>01 - NORMA</t>
  </si>
  <si>
    <t>09 - CRIANÇAS</t>
  </si>
  <si>
    <t>08 - CRIANÇAS</t>
  </si>
  <si>
    <t>130,00 POR CRIANÇA</t>
  </si>
  <si>
    <t>PAGAMENTO REALIZADO NO DIA 09/12/2015</t>
  </si>
  <si>
    <t>PAGAMENTO REALIZADO NO 08/12/2015 OM O CHEQUE 1656 NO VALOR DE R$ 740,00</t>
  </si>
  <si>
    <t>ATUALIZADO NO DIA 14/12/2015 CLAUDIA</t>
  </si>
  <si>
    <t>PAGAMENTO REALIZADO NO DIA 10/12/2015 CHEQUE 1662 NO VALOR DE R$ 252,00</t>
  </si>
  <si>
    <t>ATUALIZADO DIA 14/12/2015 CLAUDIA</t>
  </si>
  <si>
    <t>MAURA - GÁS TÉCNICA 3028-6010</t>
  </si>
  <si>
    <t>TEMOS 11 VALE GÁS DE CRÉDITO QUE SERÃO DISTRIBUÍDOS PARA AS CUIDADORAS USAREM EM JANEIRO DE 2016</t>
  </si>
  <si>
    <t>PAGAMENTO DIA 08/12/2015 CHEQUE 1657 VALOR DE 2030,00</t>
  </si>
  <si>
    <t>ATUALIZADO DIA 14/12/2015. CLAUDIA</t>
  </si>
  <si>
    <t>PAGAMENTO REALIZADO NO DIA 14/12/2015 NO VALOR DE R$ 1495,00</t>
  </si>
  <si>
    <t>ATUALIZADO NO DIA 14/12/2015</t>
  </si>
  <si>
    <t>CRÉDITO GÁSTÉCNICA</t>
  </si>
  <si>
    <t xml:space="preserve">DOBLÔ </t>
  </si>
  <si>
    <t>VALOR ATUALIZADO NO DIA 14/12/2015</t>
  </si>
  <si>
    <t>PAGAMENTO DE R$ 2507,30</t>
  </si>
  <si>
    <t>VIDRAÇARIA MILANI - 3522-1147 - MICHELE</t>
  </si>
  <si>
    <t>VIDRAÇARIA MILANI</t>
  </si>
  <si>
    <t>Instalação impressora - pc técnicos</t>
  </si>
  <si>
    <t>Filtro de linha</t>
  </si>
  <si>
    <t>TROCA DE ÓLEO DOBLÔ</t>
  </si>
  <si>
    <t>SAVEIRO</t>
  </si>
  <si>
    <t>SEMINÁRIOS FFC</t>
  </si>
  <si>
    <t>CANECAS</t>
  </si>
  <si>
    <t>PAGAMENTO REALIZADO NO DIA 18/12/2015</t>
  </si>
  <si>
    <t>NÃO TEMOS CRÉDITO</t>
  </si>
  <si>
    <t>À PARTIR DE JANEIRO DE 2016, TEMOS CRÉDITO COM A PANORAMA HOME CENTER.</t>
  </si>
  <si>
    <t>PANORAMA MATERIAIS DE CONSTRUÇÃO</t>
  </si>
  <si>
    <t>PANORAMA MATERIAIS DE CONSTRUÇÃO - 3528-8020</t>
  </si>
  <si>
    <t xml:space="preserve">ANDE MATERIAIS ELÉTRICOS - </t>
  </si>
  <si>
    <t>PGTO BOLETO DIA 09/07/2015 - TOTAL DE R$ 1.590,00</t>
  </si>
  <si>
    <t>DOBLÔ - INJENÇÃO</t>
  </si>
  <si>
    <t>AGENTE CONSERTA</t>
  </si>
  <si>
    <t>LÂMPADAS</t>
  </si>
  <si>
    <t>ANDE MATERIAIS ELÉTRICOS</t>
  </si>
  <si>
    <t>FORRO - REFORMA</t>
  </si>
  <si>
    <t>TROCA DE VIDROS</t>
  </si>
  <si>
    <t>TROCA DE VIDROS E ROLDANA</t>
  </si>
  <si>
    <t>SERVIÇOS REALIZADOS DESCRITOS NO ANEXO</t>
  </si>
  <si>
    <t>CASAS 01 E 05</t>
  </si>
  <si>
    <t>DESCARGA HIDRA</t>
  </si>
  <si>
    <t>PNEUS - DOBLÔ FFC</t>
  </si>
  <si>
    <t>TROCA DE ÓLEO GOL</t>
  </si>
  <si>
    <t>01 CRIANÇA</t>
  </si>
  <si>
    <t>01 - CRIANÇA</t>
  </si>
  <si>
    <t xml:space="preserve">MAX CALÇADOS </t>
  </si>
  <si>
    <t>FREON FOZ</t>
  </si>
  <si>
    <t>FREON FOZ - ELIAS</t>
  </si>
  <si>
    <t>BORRACHA GELADEIRA</t>
  </si>
  <si>
    <t>BORRACHA FREEZER, VÁLVULA ENTRADA DE ÁGUA MÁQUINA E PEÇA FREEZER</t>
  </si>
  <si>
    <t>BORRACHA FREEZER E GELADEIRA</t>
  </si>
  <si>
    <t>BORRACHA FREEZER E TAMPA DA MÁQUINA</t>
  </si>
  <si>
    <t>MAIO-2015 = PGTO PELO PROJETO DE ASA NO VALOR TOTAL DE R$ 3.989,18 + 351,10 FUNCRIANÇA</t>
  </si>
  <si>
    <t>PGTO DIA 30/06/2015 R$ 300,00 MATERIAL EXPEDIENTE + PGTO DIA 20/07/2015 R$ 2.423,05 MATERIAL ESCOLAR</t>
  </si>
  <si>
    <t>COMPRAS ANDERSON</t>
  </si>
  <si>
    <t>COMPRAS FUNCRIANÇA</t>
  </si>
  <si>
    <t>PAGAMENTO DE R$ 3.441,25</t>
  </si>
  <si>
    <t xml:space="preserve">BRINQUEDOS </t>
  </si>
  <si>
    <t>MATERIAIS ESCRITÓRIO</t>
  </si>
  <si>
    <t>AGENDAS</t>
  </si>
  <si>
    <t>SALDO ALDEIAS:</t>
  </si>
  <si>
    <t>SALDO DÊ ASA:</t>
  </si>
  <si>
    <t>ELISANGELA - AGENDAS</t>
  </si>
  <si>
    <t>SALDO FUNCRIANÇA:</t>
  </si>
  <si>
    <t>CLAUDIA -MATERIAL ESCRITÓRIO</t>
  </si>
  <si>
    <t xml:space="preserve">TOTAL: </t>
  </si>
  <si>
    <t>SAVEIRO - REPAROS VISTORIA</t>
  </si>
  <si>
    <t>CLAUDIA - COLAS</t>
  </si>
  <si>
    <t>GOL - RADIADOR</t>
  </si>
  <si>
    <t>LÂMPADAS, BOCAL, INTERRUPTOR, SIFÃO, ASSENTO SANITÁRIO, DESENTUPIDOR</t>
  </si>
  <si>
    <t>MATERIAL ESCOLAR</t>
  </si>
  <si>
    <t>DOBLÔ - FREIOS</t>
  </si>
  <si>
    <t xml:space="preserve">ROTEADOR </t>
  </si>
  <si>
    <t>CABOS E CANALETAS</t>
  </si>
  <si>
    <t>TORNEIRA/SUP/BUCHA</t>
  </si>
  <si>
    <t>01 CRIANÇA - TANICLER</t>
  </si>
  <si>
    <t>02 CRIANÇAS - TANICLER E KETLIN</t>
  </si>
  <si>
    <t>Impressoras - pc</t>
  </si>
  <si>
    <t>Verificação Impressora</t>
  </si>
  <si>
    <t xml:space="preserve">CASA 04 </t>
  </si>
  <si>
    <t>FOGÃO, BEBEDOURO</t>
  </si>
  <si>
    <t>BORRACHAS FREEZER E GELADEIRA</t>
  </si>
  <si>
    <t>PAGAMENTO REALIZADO NO DIA 02/03/2016 COM O CHEQUE Nº 1702 NO VALOR DE R$ 1.447,00</t>
  </si>
  <si>
    <t>BATERIA DOBLÔ</t>
  </si>
  <si>
    <t>PINOS PARA TOMADAS</t>
  </si>
  <si>
    <t>TORNEIRA, PLUG E VEDA ROSCA</t>
  </si>
  <si>
    <t>01 CRIANÇA - ACOLHIMENTO BB</t>
  </si>
  <si>
    <t>EDNA</t>
  </si>
  <si>
    <t>04 - CRIANÇAS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</si>
</sst>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&quot;R$&quot;\ #,##0.00"/>
    <numFmt numFmtId="165" formatCode="0.00_ ;[Red]\-0.00\ "/>
    <numFmt numFmtId="166" formatCode="#,##0.00_ ;[Red]\-#,##0.00\ "/>
  </numFmts>
  <fonts count="7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/>
      <name val="Arial"/>
      <family val="2"/>
    </font>
    <font>
      <b/>
      <sz val="12"/>
      <color rgb="FFFF0000"/>
      <name val="Arial"/>
      <family val="2"/>
    </font>
    <font>
      <sz val="12"/>
      <color theme="1"/>
      <name val="Arial"/>
      <family val="2"/>
    </font>
    <font>
      <sz val="10"/>
      <color theme="3" tint="0.39997558519241921"/>
      <name val="Arial"/>
      <family val="2"/>
    </font>
    <font>
      <b/>
      <sz val="10"/>
      <name val="Arial"/>
      <family val="2"/>
    </font>
    <font>
      <b/>
      <sz val="8"/>
      <color theme="1"/>
      <name val="Arial"/>
      <family val="2"/>
    </font>
    <font>
      <sz val="25"/>
      <color theme="1"/>
      <name val="Arial"/>
      <family val="2"/>
    </font>
    <font>
      <b/>
      <sz val="14"/>
      <color theme="8" tint="-0.499984740745262"/>
      <name val="Arial"/>
      <family val="2"/>
    </font>
    <font>
      <b/>
      <sz val="10"/>
      <color theme="8" tint="-0.499984740745262"/>
      <name val="Arial"/>
      <family val="2"/>
    </font>
    <font>
      <b/>
      <sz val="15"/>
      <color theme="1"/>
      <name val="Arial"/>
      <family val="2"/>
    </font>
    <font>
      <b/>
      <sz val="10"/>
      <color theme="4"/>
      <name val="Arial"/>
      <family val="2"/>
    </font>
    <font>
      <b/>
      <sz val="11"/>
      <color theme="4"/>
      <name val="Arial"/>
      <family val="2"/>
    </font>
    <font>
      <sz val="8"/>
      <color theme="1"/>
      <name val="Arial"/>
      <family val="2"/>
    </font>
    <font>
      <b/>
      <sz val="18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rgb="FF000000"/>
      <name val="Segoe UI Semibold"/>
      <family val="2"/>
    </font>
    <font>
      <sz val="9"/>
      <color rgb="FF000000"/>
      <name val="Segoe UI"/>
      <family val="2"/>
    </font>
    <font>
      <sz val="12"/>
      <color rgb="FF212121"/>
      <name val="Calibri"/>
      <family val="2"/>
    </font>
    <font>
      <b/>
      <sz val="15"/>
      <color rgb="FFE31E25"/>
      <name val="Segoe UI"/>
      <family val="2"/>
    </font>
    <font>
      <b/>
      <sz val="15"/>
      <color rgb="FF666666"/>
      <name val="Segoe UI"/>
      <family val="2"/>
    </font>
    <font>
      <b/>
      <sz val="10"/>
      <color rgb="FFC00000"/>
      <name val="Arial"/>
      <family val="2"/>
    </font>
    <font>
      <b/>
      <sz val="15"/>
      <color rgb="FFC00000"/>
      <name val="Arial"/>
      <family val="2"/>
    </font>
    <font>
      <b/>
      <sz val="11"/>
      <color rgb="FFC00000"/>
      <name val="Arial"/>
      <family val="2"/>
    </font>
    <font>
      <b/>
      <sz val="13"/>
      <color theme="1"/>
      <name val="Arial"/>
      <family val="2"/>
    </font>
    <font>
      <sz val="15"/>
      <name val="Arial"/>
      <family val="2"/>
    </font>
    <font>
      <b/>
      <sz val="15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15"/>
      <color rgb="FFFF0000"/>
      <name val="Calibri"/>
      <family val="2"/>
      <scheme val="minor"/>
    </font>
    <font>
      <sz val="15"/>
      <color theme="1"/>
      <name val="Arial"/>
      <family val="2"/>
    </font>
    <font>
      <sz val="16"/>
      <color theme="1"/>
      <name val="Arial"/>
      <family val="2"/>
    </font>
    <font>
      <b/>
      <sz val="12.5"/>
      <color theme="8" tint="-0.249977111117893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7"/>
      <color theme="1"/>
      <name val="Arial"/>
      <family val="2"/>
    </font>
    <font>
      <sz val="11"/>
      <color theme="1"/>
      <name val="Arial"/>
      <family val="2"/>
    </font>
    <font>
      <b/>
      <sz val="16"/>
      <color theme="1"/>
      <name val="Arial"/>
      <family val="2"/>
    </font>
    <font>
      <sz val="20"/>
      <color theme="1"/>
      <name val="Arial"/>
      <family val="2"/>
    </font>
    <font>
      <b/>
      <sz val="20"/>
      <color theme="1"/>
      <name val="Arial"/>
      <family val="2"/>
    </font>
    <font>
      <b/>
      <sz val="20"/>
      <name val="Arial"/>
      <family val="2"/>
    </font>
    <font>
      <b/>
      <sz val="27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25"/>
      <color theme="1"/>
      <name val="Arial"/>
      <family val="2"/>
    </font>
    <font>
      <b/>
      <sz val="13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50"/>
      <color theme="1"/>
      <name val="Calibri"/>
      <family val="2"/>
      <scheme val="minor"/>
    </font>
    <font>
      <b/>
      <sz val="40"/>
      <color theme="1"/>
      <name val="Calibri"/>
      <family val="2"/>
      <scheme val="minor"/>
    </font>
    <font>
      <b/>
      <sz val="9"/>
      <color theme="1"/>
      <name val="Arial"/>
      <family val="2"/>
    </font>
    <font>
      <b/>
      <sz val="11"/>
      <color rgb="FFFF0000"/>
      <name val="Calibri"/>
      <family val="2"/>
      <scheme val="minor"/>
    </font>
    <font>
      <b/>
      <sz val="14"/>
      <color theme="7" tint="-0.499984740745262"/>
      <name val="Arial"/>
      <family val="2"/>
    </font>
    <font>
      <sz val="15"/>
      <color theme="1"/>
      <name val="Calibri"/>
      <family val="2"/>
      <scheme val="minor"/>
    </font>
    <font>
      <b/>
      <sz val="17"/>
      <color theme="7" tint="-0.499984740745262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b/>
      <sz val="12"/>
      <name val="Arial"/>
      <family val="2"/>
    </font>
    <font>
      <sz val="11"/>
      <color theme="0"/>
      <name val="Calibri"/>
      <family val="2"/>
      <scheme val="minor"/>
    </font>
    <font>
      <sz val="15"/>
      <color theme="0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1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/>
      <right/>
      <top/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auto="1"/>
      </left>
      <right style="medium">
        <color indexed="64"/>
      </right>
      <top style="hair">
        <color auto="1"/>
      </top>
      <bottom/>
      <diagonal/>
    </border>
    <border>
      <left style="medium">
        <color indexed="64"/>
      </left>
      <right/>
      <top style="hair">
        <color auto="1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dashDotDot">
        <color indexed="64"/>
      </bottom>
      <diagonal/>
    </border>
    <border>
      <left/>
      <right/>
      <top/>
      <bottom style="dashDotDot">
        <color indexed="64"/>
      </bottom>
      <diagonal/>
    </border>
    <border>
      <left style="thin">
        <color indexed="64"/>
      </left>
      <right/>
      <top style="dashDotDot">
        <color indexed="64"/>
      </top>
      <bottom style="dashDotDot">
        <color indexed="64"/>
      </bottom>
      <diagonal/>
    </border>
    <border>
      <left/>
      <right/>
      <top style="dashDotDot">
        <color indexed="64"/>
      </top>
      <bottom style="dashDotDot">
        <color indexed="64"/>
      </bottom>
      <diagonal/>
    </border>
    <border>
      <left style="thin">
        <color indexed="64"/>
      </left>
      <right/>
      <top style="dashDotDot">
        <color indexed="64"/>
      </top>
      <bottom/>
      <diagonal/>
    </border>
    <border>
      <left/>
      <right/>
      <top style="dashDotDot">
        <color indexed="64"/>
      </top>
      <bottom/>
      <diagonal/>
    </border>
    <border>
      <left style="medium">
        <color indexed="64"/>
      </left>
      <right/>
      <top style="hair">
        <color auto="1"/>
      </top>
      <bottom style="medium">
        <color indexed="64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/>
      <right style="hair">
        <color indexed="64"/>
      </right>
      <top style="hair">
        <color auto="1"/>
      </top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842">
    <xf numFmtId="0" fontId="0" fillId="0" borderId="0" xfId="0"/>
    <xf numFmtId="0" fontId="2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43" fontId="2" fillId="0" borderId="0" xfId="1" applyFont="1" applyAlignment="1">
      <alignment horizontal="right" vertical="center" wrapText="1"/>
    </xf>
    <xf numFmtId="0" fontId="2" fillId="0" borderId="0" xfId="0" applyFont="1" applyAlignment="1">
      <alignment horizontal="left" vertical="center" wrapText="1"/>
    </xf>
    <xf numFmtId="0" fontId="3" fillId="2" borderId="1" xfId="0" applyFont="1" applyFill="1" applyBorder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164" fontId="2" fillId="0" borderId="1" xfId="0" applyNumberFormat="1" applyFont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0" fontId="2" fillId="0" borderId="1" xfId="0" applyNumberFormat="1" applyFont="1" applyBorder="1" applyAlignment="1">
      <alignment horizontal="center" vertical="center" wrapText="1"/>
    </xf>
    <xf numFmtId="43" fontId="3" fillId="0" borderId="0" xfId="1" applyFont="1" applyFill="1" applyBorder="1" applyAlignment="1">
      <alignment horizontal="center" vertical="center" wrapText="1"/>
    </xf>
    <xf numFmtId="0" fontId="2" fillId="0" borderId="0" xfId="0" applyFont="1" applyBorder="1" applyAlignment="1">
      <alignment vertical="center" wrapText="1"/>
    </xf>
    <xf numFmtId="0" fontId="3" fillId="2" borderId="1" xfId="0" applyNumberFormat="1" applyFont="1" applyFill="1" applyBorder="1" applyAlignment="1">
      <alignment horizontal="center" vertical="center" wrapText="1"/>
    </xf>
    <xf numFmtId="0" fontId="2" fillId="0" borderId="0" xfId="0" applyNumberFormat="1" applyFont="1" applyAlignment="1">
      <alignment horizontal="center" vertical="center" wrapText="1"/>
    </xf>
    <xf numFmtId="0" fontId="2" fillId="0" borderId="0" xfId="0" applyNumberFormat="1" applyFont="1" applyAlignment="1">
      <alignment vertical="center" wrapText="1"/>
    </xf>
    <xf numFmtId="164" fontId="3" fillId="2" borderId="1" xfId="0" applyNumberFormat="1" applyFont="1" applyFill="1" applyBorder="1" applyAlignment="1">
      <alignment horizontal="center" vertical="center" wrapText="1"/>
    </xf>
    <xf numFmtId="164" fontId="2" fillId="0" borderId="0" xfId="0" applyNumberFormat="1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164" fontId="2" fillId="0" borderId="0" xfId="0" applyNumberFormat="1" applyFont="1" applyAlignment="1">
      <alignment vertical="center" wrapText="1"/>
    </xf>
    <xf numFmtId="0" fontId="2" fillId="0" borderId="0" xfId="0" applyFont="1" applyFill="1" applyAlignment="1">
      <alignment vertical="center" wrapText="1"/>
    </xf>
    <xf numFmtId="0" fontId="2" fillId="0" borderId="4" xfId="0" applyNumberFormat="1" applyFont="1" applyBorder="1" applyAlignment="1">
      <alignment horizontal="center" vertical="center" wrapText="1"/>
    </xf>
    <xf numFmtId="14" fontId="3" fillId="2" borderId="20" xfId="0" applyNumberFormat="1" applyFont="1" applyFill="1" applyBorder="1" applyAlignment="1">
      <alignment horizontal="center" vertical="center" wrapText="1"/>
    </xf>
    <xf numFmtId="0" fontId="3" fillId="2" borderId="20" xfId="0" applyNumberFormat="1" applyFont="1" applyFill="1" applyBorder="1" applyAlignment="1">
      <alignment horizontal="center" vertical="center" wrapText="1"/>
    </xf>
    <xf numFmtId="0" fontId="3" fillId="2" borderId="20" xfId="0" applyFont="1" applyFill="1" applyBorder="1" applyAlignment="1">
      <alignment horizontal="center" vertical="center" wrapText="1"/>
    </xf>
    <xf numFmtId="164" fontId="3" fillId="2" borderId="20" xfId="0" applyNumberFormat="1" applyFont="1" applyFill="1" applyBorder="1" applyAlignment="1">
      <alignment horizontal="center" vertical="center" wrapText="1"/>
    </xf>
    <xf numFmtId="43" fontId="3" fillId="0" borderId="20" xfId="1" applyFont="1" applyFill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21" xfId="0" applyFont="1" applyBorder="1" applyAlignment="1">
      <alignment horizontal="center" vertical="center" wrapText="1"/>
    </xf>
    <xf numFmtId="0" fontId="2" fillId="0" borderId="22" xfId="0" applyFont="1" applyBorder="1" applyAlignment="1">
      <alignment horizontal="center" vertical="center" wrapText="1"/>
    </xf>
    <xf numFmtId="164" fontId="2" fillId="0" borderId="22" xfId="0" applyNumberFormat="1" applyFont="1" applyBorder="1" applyAlignment="1">
      <alignment horizontal="center" vertical="center" wrapText="1"/>
    </xf>
    <xf numFmtId="164" fontId="2" fillId="0" borderId="24" xfId="0" applyNumberFormat="1" applyFont="1" applyBorder="1" applyAlignment="1">
      <alignment vertical="center" wrapText="1"/>
    </xf>
    <xf numFmtId="0" fontId="2" fillId="0" borderId="25" xfId="0" applyFont="1" applyBorder="1" applyAlignment="1">
      <alignment horizontal="center" vertical="center" wrapText="1"/>
    </xf>
    <xf numFmtId="0" fontId="2" fillId="0" borderId="26" xfId="0" applyFont="1" applyBorder="1" applyAlignment="1">
      <alignment horizontal="center" vertical="center" wrapText="1"/>
    </xf>
    <xf numFmtId="164" fontId="2" fillId="0" borderId="26" xfId="0" applyNumberFormat="1" applyFont="1" applyBorder="1" applyAlignment="1">
      <alignment horizontal="center" vertical="center" wrapText="1"/>
    </xf>
    <xf numFmtId="164" fontId="2" fillId="0" borderId="28" xfId="0" applyNumberFormat="1" applyFont="1" applyBorder="1" applyAlignment="1">
      <alignment vertical="center" wrapText="1"/>
    </xf>
    <xf numFmtId="0" fontId="2" fillId="0" borderId="22" xfId="0" applyNumberFormat="1" applyFont="1" applyBorder="1" applyAlignment="1">
      <alignment horizontal="center"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26" xfId="0" applyNumberFormat="1" applyFont="1" applyBorder="1" applyAlignment="1">
      <alignment horizontal="center" vertical="center" wrapText="1"/>
    </xf>
    <xf numFmtId="0" fontId="2" fillId="0" borderId="31" xfId="0" applyFont="1" applyBorder="1" applyAlignment="1">
      <alignment horizontal="center" vertical="center" wrapText="1"/>
    </xf>
    <xf numFmtId="164" fontId="2" fillId="0" borderId="20" xfId="0" applyNumberFormat="1" applyFont="1" applyBorder="1" applyAlignment="1">
      <alignment horizontal="center" vertical="center" wrapText="1"/>
    </xf>
    <xf numFmtId="0" fontId="2" fillId="0" borderId="23" xfId="0" applyNumberFormat="1" applyFont="1" applyBorder="1" applyAlignment="1">
      <alignment horizontal="center" vertical="center" wrapText="1"/>
    </xf>
    <xf numFmtId="0" fontId="2" fillId="0" borderId="27" xfId="0" applyNumberFormat="1" applyFont="1" applyBorder="1" applyAlignment="1">
      <alignment horizontal="center" vertical="center" wrapText="1"/>
    </xf>
    <xf numFmtId="0" fontId="2" fillId="0" borderId="35" xfId="0" applyFont="1" applyBorder="1" applyAlignment="1">
      <alignment horizontal="center" vertical="center" wrapText="1"/>
    </xf>
    <xf numFmtId="0" fontId="2" fillId="0" borderId="38" xfId="0" applyFont="1" applyBorder="1" applyAlignment="1">
      <alignment horizontal="center" vertical="center" wrapText="1"/>
    </xf>
    <xf numFmtId="0" fontId="2" fillId="0" borderId="39" xfId="0" applyFont="1" applyBorder="1" applyAlignment="1">
      <alignment horizontal="center" vertical="center" wrapText="1"/>
    </xf>
    <xf numFmtId="0" fontId="2" fillId="0" borderId="40" xfId="0" applyFont="1" applyBorder="1" applyAlignment="1">
      <alignment horizontal="center" vertical="center" wrapText="1"/>
    </xf>
    <xf numFmtId="0" fontId="2" fillId="0" borderId="41" xfId="0" applyNumberFormat="1" applyFont="1" applyBorder="1" applyAlignment="1">
      <alignment horizontal="center" vertical="center" wrapText="1"/>
    </xf>
    <xf numFmtId="0" fontId="2" fillId="0" borderId="41" xfId="0" applyFont="1" applyBorder="1" applyAlignment="1">
      <alignment horizontal="center" vertical="center" wrapText="1"/>
    </xf>
    <xf numFmtId="164" fontId="2" fillId="0" borderId="41" xfId="0" applyNumberFormat="1" applyFont="1" applyBorder="1" applyAlignment="1">
      <alignment horizontal="center" vertical="center" wrapText="1"/>
    </xf>
    <xf numFmtId="0" fontId="2" fillId="0" borderId="7" xfId="0" applyFont="1" applyBorder="1" applyAlignment="1">
      <alignment vertical="center" wrapText="1"/>
    </xf>
    <xf numFmtId="0" fontId="2" fillId="0" borderId="9" xfId="0" applyFont="1" applyBorder="1" applyAlignment="1">
      <alignment vertical="center" wrapText="1"/>
    </xf>
    <xf numFmtId="164" fontId="2" fillId="0" borderId="8" xfId="0" applyNumberFormat="1" applyFont="1" applyBorder="1" applyAlignment="1">
      <alignment horizontal="center" vertical="center" wrapText="1"/>
    </xf>
    <xf numFmtId="164" fontId="2" fillId="0" borderId="10" xfId="0" applyNumberFormat="1" applyFont="1" applyBorder="1" applyAlignment="1">
      <alignment horizontal="center" vertical="center" wrapText="1"/>
    </xf>
    <xf numFmtId="164" fontId="2" fillId="0" borderId="0" xfId="0" applyNumberFormat="1" applyFont="1" applyAlignment="1">
      <alignment horizontal="center" vertical="center" wrapText="1"/>
    </xf>
    <xf numFmtId="0" fontId="2" fillId="7" borderId="22" xfId="0" applyFont="1" applyFill="1" applyBorder="1" applyAlignment="1">
      <alignment horizontal="center" vertical="center" wrapText="1"/>
    </xf>
    <xf numFmtId="0" fontId="2" fillId="7" borderId="34" xfId="0" applyFont="1" applyFill="1" applyBorder="1" applyAlignment="1">
      <alignment horizontal="center" vertical="center" wrapText="1"/>
    </xf>
    <xf numFmtId="0" fontId="2" fillId="7" borderId="4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2" fillId="6" borderId="3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6" borderId="26" xfId="0" applyFont="1" applyFill="1" applyBorder="1" applyAlignment="1">
      <alignment horizontal="center" vertical="center" wrapText="1"/>
    </xf>
    <xf numFmtId="0" fontId="2" fillId="0" borderId="17" xfId="0" applyNumberFormat="1" applyFont="1" applyBorder="1" applyAlignment="1">
      <alignment horizontal="center" vertical="center" wrapText="1"/>
    </xf>
    <xf numFmtId="0" fontId="2" fillId="0" borderId="0" xfId="0" applyNumberFormat="1" applyFont="1" applyBorder="1" applyAlignment="1">
      <alignment horizontal="center" vertical="center" wrapText="1"/>
    </xf>
    <xf numFmtId="164" fontId="2" fillId="5" borderId="1" xfId="0" applyNumberFormat="1" applyFont="1" applyFill="1" applyBorder="1" applyAlignment="1">
      <alignment horizontal="center" vertical="center" wrapText="1"/>
    </xf>
    <xf numFmtId="0" fontId="2" fillId="0" borderId="5" xfId="0" applyFont="1" applyBorder="1" applyAlignment="1">
      <alignment vertical="center" wrapText="1"/>
    </xf>
    <xf numFmtId="164" fontId="2" fillId="0" borderId="6" xfId="0" applyNumberFormat="1" applyFont="1" applyBorder="1" applyAlignment="1">
      <alignment horizontal="center" vertical="center" wrapText="1"/>
    </xf>
    <xf numFmtId="164" fontId="2" fillId="0" borderId="4" xfId="0" applyNumberFormat="1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left" vertical="center" wrapText="1"/>
    </xf>
    <xf numFmtId="164" fontId="2" fillId="0" borderId="0" xfId="0" applyNumberFormat="1" applyFont="1" applyFill="1" applyBorder="1" applyAlignment="1">
      <alignment horizontal="center" vertical="center" wrapText="1"/>
    </xf>
    <xf numFmtId="14" fontId="3" fillId="0" borderId="0" xfId="0" applyNumberFormat="1" applyFont="1" applyFill="1" applyBorder="1" applyAlignment="1">
      <alignment horizontal="center" vertical="center" wrapText="1"/>
    </xf>
    <xf numFmtId="0" fontId="3" fillId="0" borderId="0" xfId="0" applyNumberFormat="1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vertical="center" wrapText="1"/>
    </xf>
    <xf numFmtId="0" fontId="2" fillId="0" borderId="0" xfId="0" applyNumberFormat="1" applyFont="1" applyFill="1" applyBorder="1" applyAlignment="1">
      <alignment vertical="center" wrapText="1"/>
    </xf>
    <xf numFmtId="43" fontId="2" fillId="0" borderId="0" xfId="1" applyFont="1" applyFill="1" applyBorder="1" applyAlignment="1">
      <alignment horizontal="center" vertical="center" wrapText="1"/>
    </xf>
    <xf numFmtId="164" fontId="2" fillId="0" borderId="0" xfId="0" applyNumberFormat="1" applyFont="1" applyFill="1" applyBorder="1" applyAlignment="1">
      <alignment vertical="center" wrapText="1"/>
    </xf>
    <xf numFmtId="0" fontId="2" fillId="0" borderId="0" xfId="0" applyNumberFormat="1" applyFont="1" applyFill="1" applyBorder="1" applyAlignment="1">
      <alignment horizontal="center" vertical="center" wrapText="1"/>
    </xf>
    <xf numFmtId="0" fontId="2" fillId="0" borderId="1" xfId="0" applyFont="1" applyBorder="1" applyAlignment="1">
      <alignment vertical="center" wrapText="1"/>
    </xf>
    <xf numFmtId="0" fontId="2" fillId="0" borderId="1" xfId="0" applyNumberFormat="1" applyFont="1" applyBorder="1" applyAlignment="1">
      <alignment vertical="center" wrapText="1"/>
    </xf>
    <xf numFmtId="0" fontId="4" fillId="5" borderId="1" xfId="0" applyFont="1" applyFill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wrapText="1"/>
    </xf>
    <xf numFmtId="164" fontId="2" fillId="0" borderId="14" xfId="0" applyNumberFormat="1" applyFont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6" fillId="0" borderId="1" xfId="0" applyFont="1" applyFill="1" applyBorder="1" applyAlignment="1">
      <alignment vertical="center" wrapText="1"/>
    </xf>
    <xf numFmtId="164" fontId="6" fillId="0" borderId="1" xfId="0" applyNumberFormat="1" applyFont="1" applyFill="1" applyBorder="1" applyAlignment="1">
      <alignment horizontal="center" vertical="center" wrapText="1"/>
    </xf>
    <xf numFmtId="164" fontId="2" fillId="0" borderId="0" xfId="0" applyNumberFormat="1" applyFont="1" applyFill="1" applyAlignment="1">
      <alignment vertical="center" wrapText="1"/>
    </xf>
    <xf numFmtId="43" fontId="2" fillId="0" borderId="0" xfId="1" applyFont="1" applyFill="1" applyAlignment="1">
      <alignment horizontal="right" vertical="center" wrapText="1"/>
    </xf>
    <xf numFmtId="164" fontId="6" fillId="0" borderId="24" xfId="0" applyNumberFormat="1" applyFont="1" applyBorder="1" applyAlignment="1">
      <alignment vertical="center" wrapText="1"/>
    </xf>
    <xf numFmtId="164" fontId="6" fillId="0" borderId="42" xfId="0" applyNumberFormat="1" applyFont="1" applyBorder="1" applyAlignment="1">
      <alignment vertical="center" wrapText="1"/>
    </xf>
    <xf numFmtId="164" fontId="6" fillId="0" borderId="43" xfId="0" applyNumberFormat="1" applyFont="1" applyBorder="1" applyAlignment="1">
      <alignment vertical="center" wrapText="1"/>
    </xf>
    <xf numFmtId="164" fontId="2" fillId="4" borderId="1" xfId="0" applyNumberFormat="1" applyFont="1" applyFill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2" fillId="0" borderId="13" xfId="0" applyFont="1" applyFill="1" applyBorder="1" applyAlignment="1">
      <alignment horizontal="center" vertical="center" wrapText="1"/>
    </xf>
    <xf numFmtId="164" fontId="2" fillId="0" borderId="14" xfId="0" applyNumberFormat="1" applyFont="1" applyFill="1" applyBorder="1" applyAlignment="1">
      <alignment horizontal="center" vertical="center" wrapText="1"/>
    </xf>
    <xf numFmtId="164" fontId="2" fillId="0" borderId="14" xfId="1" applyNumberFormat="1" applyFont="1" applyFill="1" applyBorder="1" applyAlignment="1">
      <alignment horizontal="center" vertical="center" wrapText="1"/>
    </xf>
    <xf numFmtId="164" fontId="3" fillId="8" borderId="16" xfId="0" applyNumberFormat="1" applyFont="1" applyFill="1" applyBorder="1" applyAlignment="1">
      <alignment horizontal="center" vertical="center" wrapText="1"/>
    </xf>
    <xf numFmtId="164" fontId="3" fillId="8" borderId="18" xfId="0" applyNumberFormat="1" applyFont="1" applyFill="1" applyBorder="1" applyAlignment="1">
      <alignment horizontal="center" vertical="center" wrapText="1"/>
    </xf>
    <xf numFmtId="0" fontId="3" fillId="9" borderId="1" xfId="0" applyFont="1" applyFill="1" applyBorder="1" applyAlignment="1">
      <alignment vertical="center" wrapText="1"/>
    </xf>
    <xf numFmtId="164" fontId="3" fillId="9" borderId="1" xfId="0" applyNumberFormat="1" applyFont="1" applyFill="1" applyBorder="1" applyAlignment="1">
      <alignment horizontal="center" vertical="center" wrapText="1"/>
    </xf>
    <xf numFmtId="0" fontId="3" fillId="9" borderId="20" xfId="0" applyFont="1" applyFill="1" applyBorder="1" applyAlignment="1">
      <alignment vertical="center" wrapText="1"/>
    </xf>
    <xf numFmtId="164" fontId="3" fillId="9" borderId="20" xfId="0" applyNumberFormat="1" applyFont="1" applyFill="1" applyBorder="1" applyAlignment="1">
      <alignment horizontal="center" vertical="center" wrapText="1"/>
    </xf>
    <xf numFmtId="164" fontId="2" fillId="0" borderId="0" xfId="0" applyNumberFormat="1" applyFont="1" applyFill="1" applyBorder="1" applyAlignment="1">
      <alignment horizontal="right" vertical="center" wrapText="1"/>
    </xf>
    <xf numFmtId="164" fontId="2" fillId="5" borderId="1" xfId="0" applyNumberFormat="1" applyFont="1" applyFill="1" applyBorder="1" applyAlignment="1">
      <alignment horizontal="right" vertical="center" wrapText="1"/>
    </xf>
    <xf numFmtId="164" fontId="3" fillId="0" borderId="20" xfId="1" applyNumberFormat="1" applyFont="1" applyFill="1" applyBorder="1" applyAlignment="1">
      <alignment horizontal="right" vertical="center" wrapText="1"/>
    </xf>
    <xf numFmtId="8" fontId="2" fillId="0" borderId="1" xfId="0" applyNumberFormat="1" applyFont="1" applyBorder="1" applyAlignment="1">
      <alignment horizontal="right" vertical="center" wrapText="1"/>
    </xf>
    <xf numFmtId="164" fontId="3" fillId="4" borderId="1" xfId="0" applyNumberFormat="1" applyFont="1" applyFill="1" applyBorder="1" applyAlignment="1">
      <alignment horizontal="center" vertical="center" wrapText="1"/>
    </xf>
    <xf numFmtId="164" fontId="3" fillId="4" borderId="1" xfId="0" applyNumberFormat="1" applyFont="1" applyFill="1" applyBorder="1" applyAlignment="1">
      <alignment vertical="center" wrapText="1"/>
    </xf>
    <xf numFmtId="164" fontId="3" fillId="0" borderId="15" xfId="0" applyNumberFormat="1" applyFont="1" applyFill="1" applyBorder="1" applyAlignment="1">
      <alignment horizontal="center" vertical="center" wrapText="1"/>
    </xf>
    <xf numFmtId="164" fontId="3" fillId="0" borderId="1" xfId="1" applyNumberFormat="1" applyFont="1" applyFill="1" applyBorder="1" applyAlignment="1">
      <alignment horizontal="right" vertical="center" wrapText="1"/>
    </xf>
    <xf numFmtId="164" fontId="2" fillId="0" borderId="1" xfId="0" applyNumberFormat="1" applyFont="1" applyBorder="1" applyAlignment="1">
      <alignment vertical="center" wrapText="1"/>
    </xf>
    <xf numFmtId="0" fontId="2" fillId="10" borderId="1" xfId="0" applyFont="1" applyFill="1" applyBorder="1" applyAlignment="1">
      <alignment horizontal="center" vertical="center" wrapText="1"/>
    </xf>
    <xf numFmtId="164" fontId="2" fillId="10" borderId="1" xfId="0" applyNumberFormat="1" applyFont="1" applyFill="1" applyBorder="1" applyAlignment="1">
      <alignment vertical="center" wrapText="1"/>
    </xf>
    <xf numFmtId="164" fontId="2" fillId="10" borderId="1" xfId="0" applyNumberFormat="1" applyFont="1" applyFill="1" applyBorder="1" applyAlignment="1">
      <alignment horizontal="center" vertical="center" wrapText="1"/>
    </xf>
    <xf numFmtId="0" fontId="2" fillId="0" borderId="20" xfId="0" applyFont="1" applyBorder="1" applyAlignment="1">
      <alignment horizontal="center" vertical="center" wrapText="1"/>
    </xf>
    <xf numFmtId="0" fontId="2" fillId="0" borderId="20" xfId="0" applyNumberFormat="1" applyFont="1" applyBorder="1" applyAlignment="1">
      <alignment horizontal="center" vertical="center" wrapText="1"/>
    </xf>
    <xf numFmtId="0" fontId="2" fillId="0" borderId="20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164" fontId="2" fillId="0" borderId="4" xfId="0" applyNumberFormat="1" applyFont="1" applyBorder="1" applyAlignment="1">
      <alignment horizontal="center" vertical="center" wrapText="1"/>
    </xf>
    <xf numFmtId="0" fontId="2" fillId="0" borderId="22" xfId="0" applyFont="1" applyFill="1" applyBorder="1" applyAlignment="1">
      <alignment horizontal="center" vertical="center" wrapText="1"/>
    </xf>
    <xf numFmtId="0" fontId="2" fillId="0" borderId="26" xfId="0" applyFont="1" applyFill="1" applyBorder="1" applyAlignment="1">
      <alignment horizontal="center" vertical="center" wrapText="1"/>
    </xf>
    <xf numFmtId="164" fontId="2" fillId="0" borderId="20" xfId="0" applyNumberFormat="1" applyFont="1" applyBorder="1" applyAlignment="1">
      <alignment vertical="center" wrapText="1"/>
    </xf>
    <xf numFmtId="164" fontId="2" fillId="0" borderId="4" xfId="0" applyNumberFormat="1" applyFont="1" applyBorder="1" applyAlignment="1">
      <alignment vertical="center" wrapText="1"/>
    </xf>
    <xf numFmtId="164" fontId="2" fillId="6" borderId="1" xfId="0" applyNumberFormat="1" applyFont="1" applyFill="1" applyBorder="1" applyAlignment="1">
      <alignment horizontal="center" vertical="center" wrapText="1"/>
    </xf>
    <xf numFmtId="0" fontId="2" fillId="0" borderId="46" xfId="0" applyFont="1" applyFill="1" applyBorder="1" applyAlignment="1">
      <alignment horizontal="center" vertical="center" wrapText="1"/>
    </xf>
    <xf numFmtId="0" fontId="2" fillId="0" borderId="46" xfId="0" applyNumberFormat="1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left" vertical="center" wrapText="1"/>
    </xf>
    <xf numFmtId="0" fontId="2" fillId="0" borderId="1" xfId="0" applyNumberFormat="1" applyFont="1" applyBorder="1" applyAlignment="1">
      <alignment horizontal="left" vertical="center" wrapText="1"/>
    </xf>
    <xf numFmtId="4" fontId="3" fillId="10" borderId="3" xfId="0" applyNumberFormat="1" applyFont="1" applyFill="1" applyBorder="1" applyAlignment="1">
      <alignment horizontal="center" vertical="center" wrapText="1"/>
    </xf>
    <xf numFmtId="4" fontId="2" fillId="10" borderId="1" xfId="0" applyNumberFormat="1" applyFont="1" applyFill="1" applyBorder="1" applyAlignment="1">
      <alignment horizontal="center" vertical="center" wrapText="1"/>
    </xf>
    <xf numFmtId="44" fontId="2" fillId="0" borderId="1" xfId="2" applyFont="1" applyBorder="1" applyAlignment="1">
      <alignment horizontal="center" vertical="center" wrapText="1"/>
    </xf>
    <xf numFmtId="164" fontId="6" fillId="0" borderId="4" xfId="0" applyNumberFormat="1" applyFont="1" applyBorder="1" applyAlignment="1">
      <alignment vertical="center" wrapText="1"/>
    </xf>
    <xf numFmtId="4" fontId="10" fillId="11" borderId="48" xfId="0" applyNumberFormat="1" applyFont="1" applyFill="1" applyBorder="1" applyAlignment="1">
      <alignment vertical="center" wrapText="1"/>
    </xf>
    <xf numFmtId="4" fontId="10" fillId="11" borderId="49" xfId="0" applyNumberFormat="1" applyFont="1" applyFill="1" applyBorder="1" applyAlignment="1">
      <alignment vertical="center" wrapText="1"/>
    </xf>
    <xf numFmtId="4" fontId="9" fillId="12" borderId="0" xfId="0" applyNumberFormat="1" applyFont="1" applyFill="1" applyAlignment="1">
      <alignment vertical="center" wrapText="1"/>
    </xf>
    <xf numFmtId="4" fontId="9" fillId="13" borderId="0" xfId="0" applyNumberFormat="1" applyFont="1" applyFill="1" applyAlignment="1">
      <alignment vertical="center" wrapText="1"/>
    </xf>
    <xf numFmtId="0" fontId="11" fillId="13" borderId="0" xfId="0" applyFont="1" applyFill="1" applyAlignment="1">
      <alignment horizontal="center" vertical="center" wrapText="1"/>
    </xf>
    <xf numFmtId="14" fontId="11" fillId="13" borderId="0" xfId="0" applyNumberFormat="1" applyFont="1" applyFill="1" applyAlignment="1">
      <alignment vertical="center" wrapText="1"/>
    </xf>
    <xf numFmtId="0" fontId="2" fillId="0" borderId="51" xfId="0" applyFont="1" applyBorder="1" applyAlignment="1">
      <alignment vertical="center" wrapText="1"/>
    </xf>
    <xf numFmtId="0" fontId="2" fillId="0" borderId="51" xfId="0" applyNumberFormat="1" applyFont="1" applyBorder="1" applyAlignment="1">
      <alignment vertical="center" wrapText="1"/>
    </xf>
    <xf numFmtId="0" fontId="2" fillId="0" borderId="52" xfId="0" applyFont="1" applyBorder="1" applyAlignment="1">
      <alignment vertical="center" wrapText="1"/>
    </xf>
    <xf numFmtId="0" fontId="2" fillId="0" borderId="52" xfId="0" applyNumberFormat="1" applyFont="1" applyBorder="1" applyAlignment="1">
      <alignment vertical="center" wrapText="1"/>
    </xf>
    <xf numFmtId="0" fontId="2" fillId="0" borderId="52" xfId="0" applyFont="1" applyBorder="1" applyAlignment="1">
      <alignment horizontal="center" vertical="center" wrapText="1"/>
    </xf>
    <xf numFmtId="0" fontId="3" fillId="13" borderId="0" xfId="0" applyFont="1" applyFill="1" applyAlignment="1">
      <alignment horizontal="center" vertical="center" wrapText="1"/>
    </xf>
    <xf numFmtId="0" fontId="4" fillId="5" borderId="2" xfId="0" applyFont="1" applyFill="1" applyBorder="1" applyAlignment="1">
      <alignment horizontal="center" vertical="center" shrinkToFit="1"/>
    </xf>
    <xf numFmtId="164" fontId="2" fillId="0" borderId="51" xfId="0" applyNumberFormat="1" applyFont="1" applyBorder="1" applyAlignment="1">
      <alignment horizontal="center" vertical="center" wrapText="1"/>
    </xf>
    <xf numFmtId="0" fontId="12" fillId="0" borderId="51" xfId="0" applyFont="1" applyBorder="1" applyAlignment="1">
      <alignment vertical="center" wrapText="1"/>
    </xf>
    <xf numFmtId="0" fontId="12" fillId="0" borderId="51" xfId="0" applyNumberFormat="1" applyFont="1" applyBorder="1" applyAlignment="1">
      <alignment vertical="center" wrapText="1"/>
    </xf>
    <xf numFmtId="0" fontId="12" fillId="0" borderId="51" xfId="0" applyFont="1" applyBorder="1" applyAlignment="1">
      <alignment horizontal="left" vertical="center" wrapText="1"/>
    </xf>
    <xf numFmtId="0" fontId="12" fillId="0" borderId="51" xfId="0" applyFont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shrinkToFit="1"/>
    </xf>
    <xf numFmtId="0" fontId="13" fillId="2" borderId="2" xfId="0" applyFont="1" applyFill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wrapText="1"/>
    </xf>
    <xf numFmtId="0" fontId="2" fillId="0" borderId="46" xfId="0" applyFont="1" applyBorder="1" applyAlignment="1">
      <alignment horizontal="center" vertical="center" wrapText="1"/>
    </xf>
    <xf numFmtId="0" fontId="2" fillId="0" borderId="46" xfId="0" applyNumberFormat="1" applyFont="1" applyBorder="1" applyAlignment="1">
      <alignment horizontal="center" vertical="center" wrapText="1"/>
    </xf>
    <xf numFmtId="44" fontId="6" fillId="0" borderId="1" xfId="2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8" fontId="2" fillId="0" borderId="1" xfId="0" applyNumberFormat="1" applyFont="1" applyBorder="1" applyAlignment="1">
      <alignment vertical="center" wrapText="1"/>
    </xf>
    <xf numFmtId="0" fontId="6" fillId="0" borderId="1" xfId="0" applyFont="1" applyBorder="1" applyAlignment="1">
      <alignment horizontal="center" vertical="center" wrapText="1"/>
    </xf>
    <xf numFmtId="164" fontId="6" fillId="0" borderId="1" xfId="0" applyNumberFormat="1" applyFont="1" applyBorder="1" applyAlignment="1">
      <alignment horizontal="center" vertical="center" wrapText="1"/>
    </xf>
    <xf numFmtId="0" fontId="2" fillId="0" borderId="1" xfId="0" applyFont="1" applyFill="1" applyBorder="1" applyAlignment="1">
      <alignment vertical="center" wrapText="1"/>
    </xf>
    <xf numFmtId="0" fontId="2" fillId="0" borderId="1" xfId="0" applyNumberFormat="1" applyFont="1" applyFill="1" applyBorder="1" applyAlignment="1">
      <alignment horizontal="center" vertical="center" wrapText="1"/>
    </xf>
    <xf numFmtId="43" fontId="2" fillId="0" borderId="1" xfId="1" applyFont="1" applyFill="1" applyBorder="1" applyAlignment="1">
      <alignment horizontal="center" vertical="center" wrapText="1"/>
    </xf>
    <xf numFmtId="8" fontId="2" fillId="0" borderId="20" xfId="0" applyNumberFormat="1" applyFont="1" applyBorder="1" applyAlignment="1">
      <alignment vertical="center" wrapText="1"/>
    </xf>
    <xf numFmtId="8" fontId="2" fillId="0" borderId="24" xfId="0" applyNumberFormat="1" applyFont="1" applyBorder="1" applyAlignment="1">
      <alignment vertical="center" wrapText="1"/>
    </xf>
    <xf numFmtId="8" fontId="2" fillId="0" borderId="28" xfId="0" applyNumberFormat="1" applyFont="1" applyBorder="1" applyAlignment="1">
      <alignment vertical="center" wrapText="1"/>
    </xf>
    <xf numFmtId="8" fontId="2" fillId="0" borderId="4" xfId="0" applyNumberFormat="1" applyFont="1" applyBorder="1" applyAlignment="1">
      <alignment vertical="center" wrapText="1"/>
    </xf>
    <xf numFmtId="0" fontId="16" fillId="12" borderId="3" xfId="0" applyFont="1" applyFill="1" applyBorder="1" applyAlignment="1">
      <alignment vertical="center" wrapText="1"/>
    </xf>
    <xf numFmtId="8" fontId="16" fillId="12" borderId="1" xfId="0" applyNumberFormat="1" applyFont="1" applyFill="1" applyBorder="1" applyAlignment="1">
      <alignment vertical="center" wrapText="1"/>
    </xf>
    <xf numFmtId="0" fontId="16" fillId="12" borderId="3" xfId="0" applyFont="1" applyFill="1" applyBorder="1" applyAlignment="1">
      <alignment wrapText="1"/>
    </xf>
    <xf numFmtId="8" fontId="16" fillId="12" borderId="1" xfId="0" applyNumberFormat="1" applyFont="1" applyFill="1" applyBorder="1" applyAlignment="1">
      <alignment wrapText="1"/>
    </xf>
    <xf numFmtId="0" fontId="2" fillId="0" borderId="0" xfId="0" applyFont="1" applyBorder="1" applyAlignment="1">
      <alignment wrapText="1"/>
    </xf>
    <xf numFmtId="0" fontId="2" fillId="0" borderId="0" xfId="0" applyFont="1" applyAlignment="1">
      <alignment wrapText="1"/>
    </xf>
    <xf numFmtId="0" fontId="2" fillId="0" borderId="0" xfId="0" applyFont="1" applyFill="1" applyAlignment="1">
      <alignment horizontal="center" vertical="center" wrapText="1"/>
    </xf>
    <xf numFmtId="0" fontId="2" fillId="0" borderId="53" xfId="0" applyFont="1" applyBorder="1" applyAlignment="1">
      <alignment horizontal="center" vertical="center" wrapText="1"/>
    </xf>
    <xf numFmtId="14" fontId="2" fillId="0" borderId="54" xfId="0" applyNumberFormat="1" applyFont="1" applyBorder="1" applyAlignment="1">
      <alignment horizontal="center" vertical="center" wrapText="1"/>
    </xf>
    <xf numFmtId="0" fontId="2" fillId="0" borderId="54" xfId="0" applyNumberFormat="1" applyFont="1" applyBorder="1" applyAlignment="1">
      <alignment horizontal="center" vertical="center" wrapText="1"/>
    </xf>
    <xf numFmtId="0" fontId="2" fillId="0" borderId="54" xfId="0" applyFont="1" applyBorder="1" applyAlignment="1">
      <alignment horizontal="center" vertical="center" wrapText="1"/>
    </xf>
    <xf numFmtId="0" fontId="2" fillId="0" borderId="46" xfId="0" applyNumberFormat="1" applyFont="1" applyBorder="1" applyAlignment="1">
      <alignment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2" fillId="0" borderId="55" xfId="0" applyFont="1" applyBorder="1" applyAlignment="1">
      <alignment horizontal="center" vertical="center" wrapText="1"/>
    </xf>
    <xf numFmtId="0" fontId="2" fillId="0" borderId="56" xfId="0" applyFont="1" applyFill="1" applyBorder="1" applyAlignment="1">
      <alignment horizontal="center" vertical="center" wrapText="1"/>
    </xf>
    <xf numFmtId="0" fontId="2" fillId="0" borderId="56" xfId="0" applyFont="1" applyBorder="1" applyAlignment="1">
      <alignment horizontal="center" vertical="center" wrapText="1"/>
    </xf>
    <xf numFmtId="164" fontId="2" fillId="0" borderId="57" xfId="0" applyNumberFormat="1" applyFont="1" applyBorder="1" applyAlignment="1">
      <alignment horizontal="center" vertical="center" wrapText="1"/>
    </xf>
    <xf numFmtId="164" fontId="2" fillId="0" borderId="58" xfId="0" applyNumberFormat="1" applyFont="1" applyFill="1" applyBorder="1" applyAlignment="1">
      <alignment horizontal="center" vertical="center" wrapText="1"/>
    </xf>
    <xf numFmtId="164" fontId="2" fillId="0" borderId="61" xfId="0" applyNumberFormat="1" applyFont="1" applyFill="1" applyBorder="1" applyAlignment="1">
      <alignment vertical="center" wrapText="1"/>
    </xf>
    <xf numFmtId="164" fontId="6" fillId="0" borderId="61" xfId="0" applyNumberFormat="1" applyFont="1" applyFill="1" applyBorder="1" applyAlignment="1">
      <alignment vertical="center" wrapText="1"/>
    </xf>
    <xf numFmtId="164" fontId="16" fillId="9" borderId="61" xfId="0" applyNumberFormat="1" applyFont="1" applyFill="1" applyBorder="1" applyAlignment="1">
      <alignment vertical="center" wrapText="1"/>
    </xf>
    <xf numFmtId="164" fontId="2" fillId="0" borderId="58" xfId="0" applyNumberFormat="1" applyFont="1" applyBorder="1" applyAlignment="1">
      <alignment horizontal="center" vertical="center" wrapText="1"/>
    </xf>
    <xf numFmtId="14" fontId="16" fillId="9" borderId="58" xfId="0" applyNumberFormat="1" applyFont="1" applyFill="1" applyBorder="1" applyAlignment="1">
      <alignment vertical="center" wrapText="1"/>
    </xf>
    <xf numFmtId="164" fontId="2" fillId="0" borderId="62" xfId="0" applyNumberFormat="1" applyFont="1" applyBorder="1" applyAlignment="1">
      <alignment horizontal="center" vertical="center" wrapText="1"/>
    </xf>
    <xf numFmtId="0" fontId="2" fillId="0" borderId="59" xfId="0" applyFont="1" applyBorder="1" applyAlignment="1">
      <alignment horizontal="center" vertical="center" wrapText="1"/>
    </xf>
    <xf numFmtId="0" fontId="2" fillId="0" borderId="59" xfId="0" applyFont="1" applyFill="1" applyBorder="1" applyAlignment="1">
      <alignment horizontal="center" vertical="center" wrapText="1"/>
    </xf>
    <xf numFmtId="0" fontId="2" fillId="0" borderId="60" xfId="0" applyFont="1" applyBorder="1" applyAlignment="1">
      <alignment horizontal="center" vertical="center" wrapText="1"/>
    </xf>
    <xf numFmtId="0" fontId="2" fillId="0" borderId="63" xfId="0" applyNumberFormat="1" applyFont="1" applyBorder="1" applyAlignment="1">
      <alignment horizontal="center" vertical="center" wrapText="1"/>
    </xf>
    <xf numFmtId="0" fontId="2" fillId="0" borderId="63" xfId="0" applyFont="1" applyBorder="1" applyAlignment="1">
      <alignment horizontal="center" vertical="center" wrapText="1"/>
    </xf>
    <xf numFmtId="0" fontId="2" fillId="0" borderId="64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164" fontId="4" fillId="0" borderId="6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20" xfId="0" applyFont="1" applyBorder="1" applyAlignment="1">
      <alignment vertical="center" wrapText="1"/>
    </xf>
    <xf numFmtId="44" fontId="2" fillId="0" borderId="33" xfId="2" applyFont="1" applyBorder="1" applyAlignment="1">
      <alignment vertical="center" wrapText="1"/>
    </xf>
    <xf numFmtId="44" fontId="2" fillId="0" borderId="35" xfId="2" applyFont="1" applyBorder="1" applyAlignment="1">
      <alignment vertical="center" wrapText="1"/>
    </xf>
    <xf numFmtId="44" fontId="2" fillId="0" borderId="65" xfId="2" applyFont="1" applyBorder="1" applyAlignment="1">
      <alignment vertical="center" wrapText="1"/>
    </xf>
    <xf numFmtId="44" fontId="2" fillId="0" borderId="66" xfId="2" applyFont="1" applyBorder="1" applyAlignment="1">
      <alignment vertical="center" wrapText="1"/>
    </xf>
    <xf numFmtId="164" fontId="2" fillId="0" borderId="66" xfId="2" applyNumberFormat="1" applyFont="1" applyBorder="1" applyAlignment="1">
      <alignment vertical="center" wrapText="1"/>
    </xf>
    <xf numFmtId="4" fontId="18" fillId="13" borderId="0" xfId="0" applyNumberFormat="1" applyFont="1" applyFill="1" applyAlignment="1">
      <alignment vertical="center" wrapText="1"/>
    </xf>
    <xf numFmtId="44" fontId="18" fillId="13" borderId="67" xfId="2" applyFont="1" applyFill="1" applyBorder="1" applyAlignment="1">
      <alignment vertical="center" wrapText="1"/>
    </xf>
    <xf numFmtId="164" fontId="18" fillId="13" borderId="68" xfId="2" applyNumberFormat="1" applyFont="1" applyFill="1" applyBorder="1" applyAlignment="1">
      <alignment vertical="center" wrapText="1"/>
    </xf>
    <xf numFmtId="164" fontId="2" fillId="0" borderId="0" xfId="0" applyNumberFormat="1" applyFont="1" applyFill="1" applyAlignment="1">
      <alignment horizontal="center" vertical="center" wrapText="1"/>
    </xf>
    <xf numFmtId="0" fontId="2" fillId="14" borderId="1" xfId="0" applyFont="1" applyFill="1" applyBorder="1" applyAlignment="1">
      <alignment horizontal="center" vertical="center" wrapText="1"/>
    </xf>
    <xf numFmtId="14" fontId="2" fillId="14" borderId="1" xfId="0" applyNumberFormat="1" applyFont="1" applyFill="1" applyBorder="1" applyAlignment="1">
      <alignment horizontal="center" vertical="center" wrapText="1"/>
    </xf>
    <xf numFmtId="0" fontId="2" fillId="14" borderId="1" xfId="0" applyNumberFormat="1" applyFont="1" applyFill="1" applyBorder="1" applyAlignment="1">
      <alignment horizontal="center" vertical="center" wrapText="1"/>
    </xf>
    <xf numFmtId="164" fontId="2" fillId="14" borderId="1" xfId="0" applyNumberFormat="1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6" borderId="0" xfId="0" applyFont="1" applyFill="1" applyAlignment="1">
      <alignment vertical="center" wrapText="1"/>
    </xf>
    <xf numFmtId="14" fontId="2" fillId="10" borderId="1" xfId="0" applyNumberFormat="1" applyFont="1" applyFill="1" applyBorder="1" applyAlignment="1">
      <alignment horizontal="center" vertical="center" wrapText="1"/>
    </xf>
    <xf numFmtId="0" fontId="2" fillId="6" borderId="46" xfId="0" applyFont="1" applyFill="1" applyBorder="1" applyAlignment="1">
      <alignment horizontal="center" vertical="center" wrapText="1"/>
    </xf>
    <xf numFmtId="0" fontId="2" fillId="6" borderId="56" xfId="0" applyFont="1" applyFill="1" applyBorder="1" applyAlignment="1">
      <alignment horizontal="center" vertical="center" wrapText="1"/>
    </xf>
    <xf numFmtId="0" fontId="2" fillId="14" borderId="46" xfId="0" applyFont="1" applyFill="1" applyBorder="1" applyAlignment="1">
      <alignment horizontal="center" vertical="center" wrapText="1"/>
    </xf>
    <xf numFmtId="0" fontId="2" fillId="14" borderId="56" xfId="0" applyFont="1" applyFill="1" applyBorder="1" applyAlignment="1">
      <alignment horizontal="center" vertical="center" wrapText="1"/>
    </xf>
    <xf numFmtId="164" fontId="2" fillId="6" borderId="58" xfId="0" applyNumberFormat="1" applyFont="1" applyFill="1" applyBorder="1" applyAlignment="1">
      <alignment horizontal="center" vertical="center" wrapText="1"/>
    </xf>
    <xf numFmtId="0" fontId="2" fillId="15" borderId="46" xfId="0" applyFont="1" applyFill="1" applyBorder="1" applyAlignment="1">
      <alignment horizontal="center" vertical="center" wrapText="1"/>
    </xf>
    <xf numFmtId="0" fontId="2" fillId="15" borderId="56" xfId="0" applyFont="1" applyFill="1" applyBorder="1" applyAlignment="1">
      <alignment horizontal="center" vertical="center" wrapText="1"/>
    </xf>
    <xf numFmtId="164" fontId="2" fillId="15" borderId="58" xfId="0" applyNumberFormat="1" applyFont="1" applyFill="1" applyBorder="1" applyAlignment="1">
      <alignment horizontal="center" vertical="center" wrapText="1"/>
    </xf>
    <xf numFmtId="164" fontId="2" fillId="14" borderId="58" xfId="0" applyNumberFormat="1" applyFont="1" applyFill="1" applyBorder="1" applyAlignment="1">
      <alignment horizontal="center" vertical="center" wrapText="1"/>
    </xf>
    <xf numFmtId="0" fontId="2" fillId="16" borderId="46" xfId="0" applyFont="1" applyFill="1" applyBorder="1" applyAlignment="1">
      <alignment horizontal="center" vertical="center" wrapText="1"/>
    </xf>
    <xf numFmtId="0" fontId="2" fillId="16" borderId="56" xfId="0" applyFont="1" applyFill="1" applyBorder="1" applyAlignment="1">
      <alignment horizontal="center" vertical="center" wrapText="1"/>
    </xf>
    <xf numFmtId="164" fontId="2" fillId="16" borderId="58" xfId="0" applyNumberFormat="1" applyFont="1" applyFill="1" applyBorder="1" applyAlignment="1">
      <alignment horizontal="center" vertical="center" wrapText="1"/>
    </xf>
    <xf numFmtId="0" fontId="2" fillId="11" borderId="46" xfId="0" applyFont="1" applyFill="1" applyBorder="1" applyAlignment="1">
      <alignment horizontal="center" vertical="center" wrapText="1"/>
    </xf>
    <xf numFmtId="0" fontId="2" fillId="11" borderId="56" xfId="0" applyFont="1" applyFill="1" applyBorder="1" applyAlignment="1">
      <alignment horizontal="center" vertical="center" wrapText="1"/>
    </xf>
    <xf numFmtId="164" fontId="2" fillId="11" borderId="58" xfId="0" applyNumberFormat="1" applyFont="1" applyFill="1" applyBorder="1" applyAlignment="1">
      <alignment horizontal="center" vertical="center" wrapText="1"/>
    </xf>
    <xf numFmtId="0" fontId="2" fillId="6" borderId="65" xfId="0" applyFont="1" applyFill="1" applyBorder="1" applyAlignment="1">
      <alignment horizontal="center" vertical="center" wrapText="1"/>
    </xf>
    <xf numFmtId="0" fontId="2" fillId="18" borderId="46" xfId="0" applyFont="1" applyFill="1" applyBorder="1" applyAlignment="1">
      <alignment horizontal="center" vertical="center" wrapText="1"/>
    </xf>
    <xf numFmtId="0" fontId="2" fillId="18" borderId="56" xfId="0" applyFont="1" applyFill="1" applyBorder="1" applyAlignment="1">
      <alignment horizontal="center" vertical="center" wrapText="1"/>
    </xf>
    <xf numFmtId="164" fontId="2" fillId="18" borderId="58" xfId="0" applyNumberFormat="1" applyFont="1" applyFill="1" applyBorder="1" applyAlignment="1">
      <alignment horizontal="center" vertical="center" wrapText="1"/>
    </xf>
    <xf numFmtId="0" fontId="3" fillId="6" borderId="0" xfId="0" applyFont="1" applyFill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14" fontId="2" fillId="0" borderId="4" xfId="0" applyNumberFormat="1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2" fontId="16" fillId="0" borderId="3" xfId="0" applyNumberFormat="1" applyFont="1" applyFill="1" applyBorder="1" applyAlignment="1">
      <alignment horizontal="center" vertical="center" wrapText="1"/>
    </xf>
    <xf numFmtId="2" fontId="2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14" fontId="2" fillId="0" borderId="1" xfId="0" quotePrefix="1" applyNumberFormat="1" applyFont="1" applyBorder="1" applyAlignment="1">
      <alignment horizontal="center" vertical="center" wrapText="1"/>
    </xf>
    <xf numFmtId="14" fontId="2" fillId="0" borderId="22" xfId="0" applyNumberFormat="1" applyFont="1" applyBorder="1" applyAlignment="1">
      <alignment horizontal="center" vertical="center" wrapText="1"/>
    </xf>
    <xf numFmtId="14" fontId="2" fillId="0" borderId="26" xfId="0" applyNumberFormat="1" applyFont="1" applyBorder="1" applyAlignment="1">
      <alignment horizontal="center" vertical="center" wrapText="1"/>
    </xf>
    <xf numFmtId="14" fontId="2" fillId="0" borderId="32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14" fontId="2" fillId="0" borderId="33" xfId="0" applyNumberFormat="1" applyFont="1" applyBorder="1" applyAlignment="1">
      <alignment horizontal="center" vertical="center" wrapText="1"/>
    </xf>
    <xf numFmtId="14" fontId="2" fillId="0" borderId="41" xfId="0" applyNumberFormat="1" applyFont="1" applyBorder="1" applyAlignment="1">
      <alignment horizontal="center" vertical="center" wrapText="1"/>
    </xf>
    <xf numFmtId="14" fontId="2" fillId="0" borderId="0" xfId="0" applyNumberFormat="1" applyFont="1" applyFill="1" applyBorder="1" applyAlignment="1">
      <alignment horizontal="center" vertical="center" wrapText="1"/>
    </xf>
    <xf numFmtId="14" fontId="2" fillId="0" borderId="20" xfId="0" applyNumberFormat="1" applyFont="1" applyBorder="1" applyAlignment="1">
      <alignment horizontal="center" vertical="center" wrapText="1"/>
    </xf>
    <xf numFmtId="14" fontId="2" fillId="0" borderId="1" xfId="0" applyNumberFormat="1" applyFont="1" applyFill="1" applyBorder="1" applyAlignment="1">
      <alignment horizontal="center" vertical="center" wrapText="1"/>
    </xf>
    <xf numFmtId="14" fontId="2" fillId="0" borderId="46" xfId="0" applyNumberFormat="1" applyFont="1" applyBorder="1" applyAlignment="1">
      <alignment horizontal="center" vertical="center" wrapText="1"/>
    </xf>
    <xf numFmtId="14" fontId="2" fillId="0" borderId="46" xfId="0" applyNumberFormat="1" applyFont="1" applyFill="1" applyBorder="1" applyAlignment="1">
      <alignment horizontal="center" vertical="center" wrapText="1"/>
    </xf>
    <xf numFmtId="14" fontId="2" fillId="0" borderId="63" xfId="0" applyNumberFormat="1" applyFont="1" applyBorder="1" applyAlignment="1">
      <alignment horizontal="center" vertical="center" wrapText="1"/>
    </xf>
    <xf numFmtId="14" fontId="2" fillId="0" borderId="4" xfId="0" applyNumberFormat="1" applyFont="1" applyBorder="1" applyAlignment="1">
      <alignment horizontal="center" vertical="center" wrapText="1"/>
    </xf>
    <xf numFmtId="14" fontId="12" fillId="0" borderId="51" xfId="0" applyNumberFormat="1" applyFont="1" applyBorder="1" applyAlignment="1">
      <alignment horizontal="center" vertical="center" wrapText="1"/>
    </xf>
    <xf numFmtId="14" fontId="2" fillId="0" borderId="51" xfId="0" applyNumberFormat="1" applyFont="1" applyBorder="1" applyAlignment="1">
      <alignment horizontal="center" vertical="center" wrapText="1"/>
    </xf>
    <xf numFmtId="14" fontId="2" fillId="0" borderId="52" xfId="0" applyNumberFormat="1" applyFont="1" applyBorder="1" applyAlignment="1">
      <alignment horizontal="center" vertical="center" wrapText="1"/>
    </xf>
    <xf numFmtId="14" fontId="2" fillId="0" borderId="20" xfId="0" quotePrefix="1" applyNumberFormat="1" applyFont="1" applyBorder="1" applyAlignment="1">
      <alignment horizontal="center" vertical="center" wrapText="1"/>
    </xf>
    <xf numFmtId="0" fontId="2" fillId="0" borderId="69" xfId="0" applyFont="1" applyBorder="1" applyAlignment="1">
      <alignment horizontal="center" vertical="center" wrapText="1"/>
    </xf>
    <xf numFmtId="14" fontId="2" fillId="0" borderId="69" xfId="0" applyNumberFormat="1" applyFont="1" applyBorder="1" applyAlignment="1">
      <alignment horizontal="center" vertical="center" wrapText="1"/>
    </xf>
    <xf numFmtId="0" fontId="2" fillId="0" borderId="69" xfId="0" applyNumberFormat="1" applyFont="1" applyBorder="1" applyAlignment="1">
      <alignment horizontal="center" vertical="center" wrapText="1"/>
    </xf>
    <xf numFmtId="0" fontId="2" fillId="0" borderId="70" xfId="0" applyFont="1" applyBorder="1" applyAlignment="1">
      <alignment horizontal="center" vertical="center" wrapText="1"/>
    </xf>
    <xf numFmtId="164" fontId="2" fillId="0" borderId="70" xfId="0" applyNumberFormat="1" applyFont="1" applyBorder="1" applyAlignment="1">
      <alignment horizontal="center" vertical="center" wrapText="1"/>
    </xf>
    <xf numFmtId="164" fontId="6" fillId="0" borderId="69" xfId="0" applyNumberFormat="1" applyFont="1" applyBorder="1" applyAlignment="1">
      <alignment vertical="center" wrapText="1"/>
    </xf>
    <xf numFmtId="0" fontId="2" fillId="15" borderId="4" xfId="0" applyFont="1" applyFill="1" applyBorder="1" applyAlignment="1">
      <alignment horizontal="center" vertical="center" wrapText="1"/>
    </xf>
    <xf numFmtId="14" fontId="2" fillId="15" borderId="4" xfId="0" applyNumberFormat="1" applyFont="1" applyFill="1" applyBorder="1" applyAlignment="1">
      <alignment horizontal="center" vertical="center" wrapText="1"/>
    </xf>
    <xf numFmtId="0" fontId="2" fillId="15" borderId="4" xfId="0" applyNumberFormat="1" applyFont="1" applyFill="1" applyBorder="1" applyAlignment="1">
      <alignment horizontal="center" vertical="center" wrapText="1"/>
    </xf>
    <xf numFmtId="0" fontId="2" fillId="15" borderId="1" xfId="0" applyFont="1" applyFill="1" applyBorder="1" applyAlignment="1">
      <alignment horizontal="center" vertical="center" wrapText="1"/>
    </xf>
    <xf numFmtId="164" fontId="2" fillId="15" borderId="1" xfId="0" applyNumberFormat="1" applyFont="1" applyFill="1" applyBorder="1" applyAlignment="1">
      <alignment horizontal="center" vertical="center" wrapText="1"/>
    </xf>
    <xf numFmtId="164" fontId="6" fillId="15" borderId="4" xfId="0" applyNumberFormat="1" applyFont="1" applyFill="1" applyBorder="1" applyAlignment="1">
      <alignment vertical="center" wrapText="1"/>
    </xf>
    <xf numFmtId="164" fontId="2" fillId="15" borderId="4" xfId="0" applyNumberFormat="1" applyFont="1" applyFill="1" applyBorder="1" applyAlignment="1">
      <alignment horizontal="center" vertical="center" wrapText="1"/>
    </xf>
    <xf numFmtId="0" fontId="2" fillId="0" borderId="72" xfId="0" applyFont="1" applyBorder="1" applyAlignment="1">
      <alignment horizontal="center" vertical="center" wrapText="1"/>
    </xf>
    <xf numFmtId="14" fontId="2" fillId="0" borderId="73" xfId="0" applyNumberFormat="1" applyFont="1" applyBorder="1" applyAlignment="1">
      <alignment horizontal="center" vertical="center" wrapText="1"/>
    </xf>
    <xf numFmtId="0" fontId="2" fillId="0" borderId="73" xfId="0" applyNumberFormat="1" applyFont="1" applyBorder="1" applyAlignment="1">
      <alignment horizontal="center" vertical="center" wrapText="1"/>
    </xf>
    <xf numFmtId="0" fontId="2" fillId="0" borderId="73" xfId="0" applyFont="1" applyBorder="1" applyAlignment="1">
      <alignment horizontal="center" vertical="center" wrapText="1"/>
    </xf>
    <xf numFmtId="0" fontId="2" fillId="0" borderId="74" xfId="0" applyFont="1" applyBorder="1" applyAlignment="1">
      <alignment horizontal="center" vertical="center" wrapText="1"/>
    </xf>
    <xf numFmtId="164" fontId="2" fillId="0" borderId="75" xfId="0" applyNumberFormat="1" applyFont="1" applyBorder="1" applyAlignment="1">
      <alignment horizontal="center" vertical="center" wrapText="1"/>
    </xf>
    <xf numFmtId="164" fontId="6" fillId="0" borderId="76" xfId="0" applyNumberFormat="1" applyFont="1" applyFill="1" applyBorder="1" applyAlignment="1">
      <alignment vertical="center" wrapText="1"/>
    </xf>
    <xf numFmtId="0" fontId="2" fillId="0" borderId="77" xfId="0" applyFont="1" applyBorder="1" applyAlignment="1">
      <alignment horizontal="center" vertical="center" wrapText="1"/>
    </xf>
    <xf numFmtId="14" fontId="2" fillId="0" borderId="78" xfId="0" applyNumberFormat="1" applyFont="1" applyBorder="1" applyAlignment="1">
      <alignment horizontal="center" vertical="center" wrapText="1"/>
    </xf>
    <xf numFmtId="0" fontId="2" fillId="0" borderId="78" xfId="0" applyNumberFormat="1" applyFont="1" applyBorder="1" applyAlignment="1">
      <alignment horizontal="center" vertical="center" wrapText="1"/>
    </xf>
    <xf numFmtId="0" fontId="21" fillId="17" borderId="78" xfId="0" applyFont="1" applyFill="1" applyBorder="1" applyAlignment="1">
      <alignment horizontal="center" vertical="center" wrapText="1"/>
    </xf>
    <xf numFmtId="0" fontId="2" fillId="17" borderId="79" xfId="0" applyFont="1" applyFill="1" applyBorder="1" applyAlignment="1">
      <alignment horizontal="center" vertical="center" wrapText="1"/>
    </xf>
    <xf numFmtId="164" fontId="2" fillId="17" borderId="71" xfId="0" applyNumberFormat="1" applyFont="1" applyFill="1" applyBorder="1" applyAlignment="1">
      <alignment horizontal="center" vertical="center" wrapText="1"/>
    </xf>
    <xf numFmtId="164" fontId="6" fillId="0" borderId="80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4" fontId="3" fillId="2" borderId="59" xfId="0" applyNumberFormat="1" applyFont="1" applyFill="1" applyBorder="1" applyAlignment="1">
      <alignment horizontal="center" vertical="center" wrapText="1"/>
    </xf>
    <xf numFmtId="14" fontId="3" fillId="2" borderId="46" xfId="0" applyNumberFormat="1" applyFont="1" applyFill="1" applyBorder="1" applyAlignment="1">
      <alignment horizontal="center" vertical="center" wrapText="1"/>
    </xf>
    <xf numFmtId="0" fontId="3" fillId="2" borderId="46" xfId="0" applyNumberFormat="1" applyFont="1" applyFill="1" applyBorder="1" applyAlignment="1">
      <alignment horizontal="center" vertical="center" wrapText="1"/>
    </xf>
    <xf numFmtId="0" fontId="3" fillId="2" borderId="46" xfId="0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0" fillId="0" borderId="56" xfId="0" applyBorder="1" applyAlignment="1">
      <alignment horizontal="center" vertical="center"/>
    </xf>
    <xf numFmtId="164" fontId="3" fillId="2" borderId="84" xfId="0" applyNumberFormat="1" applyFont="1" applyFill="1" applyBorder="1" applyAlignment="1">
      <alignment horizontal="center" vertical="center" wrapText="1"/>
    </xf>
    <xf numFmtId="164" fontId="2" fillId="0" borderId="84" xfId="0" applyNumberFormat="1" applyFont="1" applyBorder="1" applyAlignment="1">
      <alignment horizontal="center" vertical="center" wrapText="1"/>
    </xf>
    <xf numFmtId="164" fontId="2" fillId="0" borderId="84" xfId="0" applyNumberFormat="1" applyFont="1" applyFill="1" applyBorder="1" applyAlignment="1">
      <alignment horizontal="center" vertical="center" wrapText="1"/>
    </xf>
    <xf numFmtId="164" fontId="3" fillId="19" borderId="84" xfId="0" applyNumberFormat="1" applyFont="1" applyFill="1" applyBorder="1" applyAlignment="1">
      <alignment horizontal="center" vertical="center" wrapText="1"/>
    </xf>
    <xf numFmtId="164" fontId="3" fillId="19" borderId="85" xfId="0" applyNumberFormat="1" applyFont="1" applyFill="1" applyBorder="1" applyAlignment="1">
      <alignment horizontal="center" vertical="center" wrapText="1"/>
    </xf>
    <xf numFmtId="164" fontId="0" fillId="0" borderId="68" xfId="0" applyNumberForma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164" fontId="26" fillId="21" borderId="0" xfId="0" applyNumberFormat="1" applyFont="1" applyFill="1" applyAlignment="1">
      <alignment horizontal="center" vertical="center"/>
    </xf>
    <xf numFmtId="164" fontId="24" fillId="22" borderId="88" xfId="0" applyNumberFormat="1" applyFont="1" applyFill="1" applyBorder="1" applyAlignment="1">
      <alignment horizontal="center" vertical="center"/>
    </xf>
    <xf numFmtId="0" fontId="27" fillId="0" borderId="46" xfId="0" applyFont="1" applyBorder="1" applyAlignment="1">
      <alignment horizontal="center" vertical="center"/>
    </xf>
    <xf numFmtId="0" fontId="28" fillId="21" borderId="0" xfId="0" applyFont="1" applyFill="1" applyAlignment="1">
      <alignment horizontal="center" vertical="center"/>
    </xf>
    <xf numFmtId="0" fontId="27" fillId="0" borderId="0" xfId="0" applyFont="1" applyAlignment="1">
      <alignment horizontal="center" vertical="center"/>
    </xf>
    <xf numFmtId="14" fontId="2" fillId="0" borderId="4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3" fillId="0" borderId="0" xfId="0" applyFont="1" applyAlignment="1">
      <alignment vertical="center"/>
    </xf>
    <xf numFmtId="0" fontId="23" fillId="0" borderId="56" xfId="0" applyFont="1" applyBorder="1" applyAlignment="1">
      <alignment vertical="center"/>
    </xf>
    <xf numFmtId="0" fontId="0" fillId="0" borderId="90" xfId="0" applyBorder="1" applyAlignment="1">
      <alignment vertical="center"/>
    </xf>
    <xf numFmtId="0" fontId="0" fillId="0" borderId="91" xfId="0" applyBorder="1" applyAlignment="1">
      <alignment vertical="center"/>
    </xf>
    <xf numFmtId="0" fontId="27" fillId="0" borderId="46" xfId="0" applyFont="1" applyBorder="1" applyAlignment="1">
      <alignment horizontal="center" vertical="center" wrapText="1"/>
    </xf>
    <xf numFmtId="0" fontId="29" fillId="6" borderId="0" xfId="0" applyFont="1" applyFill="1" applyAlignment="1">
      <alignment vertical="center" wrapText="1"/>
    </xf>
    <xf numFmtId="0" fontId="30" fillId="6" borderId="0" xfId="0" applyFont="1" applyFill="1" applyAlignment="1">
      <alignment vertical="center"/>
    </xf>
    <xf numFmtId="0" fontId="31" fillId="6" borderId="0" xfId="0" applyFont="1" applyFill="1" applyAlignment="1">
      <alignment vertical="center" wrapText="1"/>
    </xf>
    <xf numFmtId="0" fontId="32" fillId="6" borderId="0" xfId="0" applyFont="1" applyFill="1" applyAlignment="1">
      <alignment vertical="center"/>
    </xf>
    <xf numFmtId="0" fontId="33" fillId="6" borderId="0" xfId="0" applyFont="1" applyFill="1" applyAlignment="1">
      <alignment vertical="center" wrapText="1"/>
    </xf>
    <xf numFmtId="164" fontId="10" fillId="6" borderId="4" xfId="0" applyNumberFormat="1" applyFont="1" applyFill="1" applyBorder="1" applyAlignment="1">
      <alignment vertical="center" wrapText="1"/>
    </xf>
    <xf numFmtId="0" fontId="9" fillId="6" borderId="0" xfId="0" applyFont="1" applyFill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4" fillId="6" borderId="0" xfId="0" applyFont="1" applyFill="1" applyAlignment="1">
      <alignment horizontal="center" vertical="center"/>
    </xf>
    <xf numFmtId="164" fontId="24" fillId="6" borderId="0" xfId="0" applyNumberFormat="1" applyFont="1" applyFill="1" applyAlignment="1">
      <alignment horizontal="center" vertical="center"/>
    </xf>
    <xf numFmtId="164" fontId="6" fillId="0" borderId="1" xfId="0" applyNumberFormat="1" applyFont="1" applyBorder="1" applyAlignment="1">
      <alignment vertical="center" wrapText="1"/>
    </xf>
    <xf numFmtId="14" fontId="0" fillId="0" borderId="0" xfId="0" applyNumberFormat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 wrapText="1"/>
    </xf>
    <xf numFmtId="0" fontId="0" fillId="0" borderId="46" xfId="0" applyBorder="1" applyAlignment="1">
      <alignment horizontal="center" vertical="center"/>
    </xf>
    <xf numFmtId="14" fontId="0" fillId="0" borderId="46" xfId="0" applyNumberFormat="1" applyBorder="1" applyAlignment="1">
      <alignment horizontal="center" vertical="center"/>
    </xf>
    <xf numFmtId="164" fontId="0" fillId="0" borderId="46" xfId="0" applyNumberFormat="1" applyBorder="1" applyAlignment="1">
      <alignment horizontal="center" vertical="center"/>
    </xf>
    <xf numFmtId="164" fontId="2" fillId="0" borderId="46" xfId="0" applyNumberFormat="1" applyFont="1" applyBorder="1" applyAlignment="1">
      <alignment horizontal="center" vertical="center" wrapText="1"/>
    </xf>
    <xf numFmtId="16" fontId="2" fillId="0" borderId="1" xfId="0" applyNumberFormat="1" applyFont="1" applyBorder="1" applyAlignment="1">
      <alignment horizontal="center" vertical="center" wrapText="1"/>
    </xf>
    <xf numFmtId="164" fontId="9" fillId="6" borderId="1" xfId="0" applyNumberFormat="1" applyFont="1" applyFill="1" applyBorder="1" applyAlignment="1">
      <alignment vertical="center" wrapText="1"/>
    </xf>
    <xf numFmtId="14" fontId="2" fillId="0" borderId="0" xfId="0" applyNumberFormat="1" applyFont="1" applyBorder="1" applyAlignment="1">
      <alignment horizontal="center" vertical="center" wrapText="1"/>
    </xf>
    <xf numFmtId="0" fontId="2" fillId="0" borderId="0" xfId="0" applyNumberFormat="1" applyFont="1" applyBorder="1" applyAlignment="1">
      <alignment vertical="center" wrapText="1"/>
    </xf>
    <xf numFmtId="164" fontId="2" fillId="0" borderId="1" xfId="0" applyNumberFormat="1" applyFont="1" applyFill="1" applyBorder="1" applyAlignment="1">
      <alignment vertical="center" wrapText="1"/>
    </xf>
    <xf numFmtId="14" fontId="2" fillId="24" borderId="0" xfId="0" applyNumberFormat="1" applyFont="1" applyFill="1" applyAlignment="1">
      <alignment vertical="center" wrapText="1"/>
    </xf>
    <xf numFmtId="43" fontId="2" fillId="24" borderId="0" xfId="1" applyFont="1" applyFill="1" applyAlignment="1">
      <alignment horizontal="right" vertical="center" wrapText="1"/>
    </xf>
    <xf numFmtId="0" fontId="2" fillId="24" borderId="0" xfId="0" applyFont="1" applyFill="1" applyAlignment="1">
      <alignment vertical="center" wrapText="1"/>
    </xf>
    <xf numFmtId="14" fontId="2" fillId="0" borderId="1" xfId="0" applyNumberFormat="1" applyFont="1" applyBorder="1" applyAlignment="1">
      <alignment vertical="center" wrapText="1"/>
    </xf>
    <xf numFmtId="44" fontId="6" fillId="0" borderId="1" xfId="0" applyNumberFormat="1" applyFont="1" applyBorder="1" applyAlignment="1">
      <alignment vertical="center" wrapText="1"/>
    </xf>
    <xf numFmtId="164" fontId="11" fillId="0" borderId="1" xfId="0" applyNumberFormat="1" applyFont="1" applyBorder="1" applyAlignment="1">
      <alignment vertical="center" wrapText="1"/>
    </xf>
    <xf numFmtId="164" fontId="11" fillId="10" borderId="1" xfId="0" applyNumberFormat="1" applyFont="1" applyFill="1" applyBorder="1" applyAlignment="1">
      <alignment vertical="center" wrapText="1"/>
    </xf>
    <xf numFmtId="164" fontId="9" fillId="0" borderId="1" xfId="1" applyNumberFormat="1" applyFont="1" applyFill="1" applyBorder="1" applyAlignment="1">
      <alignment horizontal="right" vertical="center" wrapText="1"/>
    </xf>
    <xf numFmtId="0" fontId="11" fillId="0" borderId="0" xfId="0" applyFont="1" applyAlignment="1">
      <alignment vertical="center" wrapText="1"/>
    </xf>
    <xf numFmtId="164" fontId="11" fillId="0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164" fontId="6" fillId="0" borderId="1" xfId="2" applyNumberFormat="1" applyFont="1" applyBorder="1" applyAlignment="1">
      <alignment horizontal="center" vertical="center" wrapText="1"/>
    </xf>
    <xf numFmtId="164" fontId="35" fillId="6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37" fillId="13" borderId="0" xfId="0" applyFont="1" applyFill="1" applyAlignment="1">
      <alignment horizontal="center" vertical="center" wrapText="1"/>
    </xf>
    <xf numFmtId="14" fontId="37" fillId="13" borderId="0" xfId="0" applyNumberFormat="1" applyFont="1" applyFill="1" applyAlignment="1">
      <alignment vertical="center" wrapText="1"/>
    </xf>
    <xf numFmtId="164" fontId="2" fillId="0" borderId="65" xfId="0" applyNumberFormat="1" applyFont="1" applyFill="1" applyBorder="1" applyAlignment="1">
      <alignment horizontal="center" vertical="center" wrapText="1"/>
    </xf>
    <xf numFmtId="0" fontId="0" fillId="0" borderId="1" xfId="0" applyBorder="1"/>
    <xf numFmtId="0" fontId="9" fillId="6" borderId="1" xfId="0" applyFont="1" applyFill="1" applyBorder="1" applyAlignment="1">
      <alignment horizontal="center" vertical="center" wrapText="1"/>
    </xf>
    <xf numFmtId="164" fontId="10" fillId="6" borderId="1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14" fontId="2" fillId="0" borderId="4" xfId="0" quotePrefix="1" applyNumberFormat="1" applyFont="1" applyBorder="1" applyAlignment="1">
      <alignment horizontal="center" vertical="center" wrapText="1"/>
    </xf>
    <xf numFmtId="165" fontId="2" fillId="0" borderId="0" xfId="0" applyNumberFormat="1" applyFont="1" applyAlignment="1">
      <alignment horizontal="center" vertical="center" wrapText="1"/>
    </xf>
    <xf numFmtId="165" fontId="2" fillId="0" borderId="0" xfId="0" applyNumberFormat="1" applyFont="1" applyAlignment="1">
      <alignment vertical="center" wrapText="1"/>
    </xf>
    <xf numFmtId="40" fontId="3" fillId="2" borderId="1" xfId="0" applyNumberFormat="1" applyFont="1" applyFill="1" applyBorder="1" applyAlignment="1">
      <alignment horizontal="center" vertical="center" wrapText="1"/>
    </xf>
    <xf numFmtId="40" fontId="3" fillId="0" borderId="1" xfId="1" applyNumberFormat="1" applyFont="1" applyFill="1" applyBorder="1" applyAlignment="1">
      <alignment horizontal="right" vertical="center" wrapText="1"/>
    </xf>
    <xf numFmtId="40" fontId="6" fillId="0" borderId="1" xfId="2" applyNumberFormat="1" applyFont="1" applyBorder="1" applyAlignment="1">
      <alignment horizontal="center" vertical="center" wrapText="1"/>
    </xf>
    <xf numFmtId="40" fontId="2" fillId="0" borderId="1" xfId="0" applyNumberFormat="1" applyFont="1" applyBorder="1" applyAlignment="1">
      <alignment vertical="center" wrapText="1"/>
    </xf>
    <xf numFmtId="40" fontId="18" fillId="0" borderId="1" xfId="0" applyNumberFormat="1" applyFont="1" applyBorder="1" applyAlignment="1">
      <alignment vertical="center" wrapText="1"/>
    </xf>
    <xf numFmtId="40" fontId="39" fillId="6" borderId="1" xfId="2" applyNumberFormat="1" applyFont="1" applyFill="1" applyBorder="1" applyAlignment="1">
      <alignment horizontal="center" vertical="center" wrapText="1"/>
    </xf>
    <xf numFmtId="40" fontId="38" fillId="6" borderId="1" xfId="0" applyNumberFormat="1" applyFont="1" applyFill="1" applyBorder="1" applyAlignment="1">
      <alignment vertical="center" wrapText="1"/>
    </xf>
    <xf numFmtId="44" fontId="37" fillId="6" borderId="3" xfId="0" applyNumberFormat="1" applyFont="1" applyFill="1" applyBorder="1" applyAlignment="1">
      <alignment vertical="center" wrapText="1"/>
    </xf>
    <xf numFmtId="164" fontId="37" fillId="25" borderId="0" xfId="0" applyNumberFormat="1" applyFont="1" applyFill="1" applyAlignment="1">
      <alignment horizontal="center" vertical="center" wrapText="1"/>
    </xf>
    <xf numFmtId="164" fontId="37" fillId="25" borderId="1" xfId="0" applyNumberFormat="1" applyFont="1" applyFill="1" applyBorder="1" applyAlignment="1">
      <alignment vertical="center" wrapText="1"/>
    </xf>
    <xf numFmtId="164" fontId="40" fillId="6" borderId="1" xfId="0" applyNumberFormat="1" applyFont="1" applyFill="1" applyBorder="1" applyAlignment="1">
      <alignment vertical="center" wrapText="1"/>
    </xf>
    <xf numFmtId="44" fontId="4" fillId="0" borderId="1" xfId="2" applyFont="1" applyBorder="1" applyAlignment="1">
      <alignment horizontal="center" vertical="center" wrapText="1"/>
    </xf>
    <xf numFmtId="164" fontId="6" fillId="6" borderId="1" xfId="0" applyNumberFormat="1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41" fillId="22" borderId="0" xfId="0" applyFont="1" applyFill="1" applyAlignment="1">
      <alignment vertical="center" wrapText="1"/>
    </xf>
    <xf numFmtId="0" fontId="2" fillId="22" borderId="0" xfId="0" applyFont="1" applyFill="1" applyAlignment="1">
      <alignment vertical="center" wrapText="1"/>
    </xf>
    <xf numFmtId="44" fontId="2" fillId="22" borderId="0" xfId="0" applyNumberFormat="1" applyFont="1" applyFill="1" applyAlignment="1">
      <alignment horizontal="center" vertical="center" wrapText="1"/>
    </xf>
    <xf numFmtId="44" fontId="2" fillId="0" borderId="0" xfId="0" applyNumberFormat="1" applyFont="1" applyFill="1" applyAlignment="1">
      <alignment horizontal="center" vertical="center" wrapText="1"/>
    </xf>
    <xf numFmtId="44" fontId="2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44" fontId="2" fillId="6" borderId="1" xfId="0" applyNumberFormat="1" applyFont="1" applyFill="1" applyBorder="1" applyAlignment="1">
      <alignment horizontal="center" vertical="center" wrapText="1"/>
    </xf>
    <xf numFmtId="44" fontId="2" fillId="6" borderId="1" xfId="2" applyFont="1" applyFill="1" applyBorder="1" applyAlignment="1">
      <alignment horizontal="center" vertical="center" wrapText="1"/>
    </xf>
    <xf numFmtId="164" fontId="18" fillId="0" borderId="1" xfId="0" applyNumberFormat="1" applyFont="1" applyBorder="1" applyAlignment="1">
      <alignment vertical="center" wrapText="1"/>
    </xf>
    <xf numFmtId="164" fontId="34" fillId="0" borderId="0" xfId="0" applyNumberFormat="1" applyFont="1" applyFill="1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164" fontId="4" fillId="0" borderId="1" xfId="0" applyNumberFormat="1" applyFont="1" applyBorder="1" applyAlignment="1">
      <alignment vertical="center" wrapText="1"/>
    </xf>
    <xf numFmtId="0" fontId="4" fillId="0" borderId="0" xfId="0" applyFont="1" applyFill="1" applyAlignment="1">
      <alignment vertical="center" wrapText="1"/>
    </xf>
    <xf numFmtId="0" fontId="4" fillId="0" borderId="0" xfId="0" applyFont="1" applyAlignment="1">
      <alignment vertical="center" wrapText="1"/>
    </xf>
    <xf numFmtId="0" fontId="0" fillId="0" borderId="1" xfId="0" applyBorder="1" applyAlignment="1">
      <alignment vertical="center"/>
    </xf>
    <xf numFmtId="165" fontId="4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164" fontId="18" fillId="6" borderId="1" xfId="0" applyNumberFormat="1" applyFont="1" applyFill="1" applyBorder="1" applyAlignment="1">
      <alignment vertical="center" wrapText="1"/>
    </xf>
    <xf numFmtId="164" fontId="42" fillId="23" borderId="46" xfId="0" applyNumberFormat="1" applyFont="1" applyFill="1" applyBorder="1" applyAlignment="1">
      <alignment horizontal="center" vertical="center"/>
    </xf>
    <xf numFmtId="0" fontId="44" fillId="27" borderId="1" xfId="0" applyFont="1" applyFill="1" applyBorder="1" applyAlignment="1">
      <alignment horizontal="center" vertical="center" wrapText="1"/>
    </xf>
    <xf numFmtId="164" fontId="44" fillId="27" borderId="1" xfId="0" applyNumberFormat="1" applyFont="1" applyFill="1" applyBorder="1" applyAlignment="1">
      <alignment horizontal="center" vertical="center" wrapText="1"/>
    </xf>
    <xf numFmtId="164" fontId="0" fillId="0" borderId="1" xfId="0" applyNumberFormat="1" applyBorder="1" applyAlignment="1">
      <alignment vertical="center"/>
    </xf>
    <xf numFmtId="164" fontId="46" fillId="6" borderId="1" xfId="0" applyNumberFormat="1" applyFont="1" applyFill="1" applyBorder="1" applyAlignment="1">
      <alignment horizontal="center" vertical="center"/>
    </xf>
    <xf numFmtId="164" fontId="23" fillId="0" borderId="0" xfId="0" applyNumberFormat="1" applyFont="1" applyAlignment="1">
      <alignment horizontal="center" vertical="center"/>
    </xf>
    <xf numFmtId="0" fontId="23" fillId="0" borderId="0" xfId="0" applyNumberFormat="1" applyFont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6" borderId="0" xfId="0" applyFont="1" applyFill="1" applyAlignment="1">
      <alignment horizontal="center" vertical="center" wrapText="1"/>
    </xf>
    <xf numFmtId="44" fontId="2" fillId="0" borderId="1" xfId="2" applyNumberFormat="1" applyFont="1" applyBorder="1" applyAlignment="1">
      <alignment horizontal="center" vertical="center" wrapText="1"/>
    </xf>
    <xf numFmtId="44" fontId="2" fillId="0" borderId="1" xfId="0" applyNumberFormat="1" applyFont="1" applyBorder="1" applyAlignment="1">
      <alignment horizontal="left" vertical="center" wrapText="1"/>
    </xf>
    <xf numFmtId="164" fontId="43" fillId="6" borderId="1" xfId="0" applyNumberFormat="1" applyFont="1" applyFill="1" applyBorder="1" applyAlignment="1">
      <alignment vertical="center" wrapText="1"/>
    </xf>
    <xf numFmtId="8" fontId="2" fillId="0" borderId="0" xfId="0" applyNumberFormat="1" applyFont="1" applyFill="1" applyAlignment="1">
      <alignment vertical="center" wrapText="1"/>
    </xf>
    <xf numFmtId="16" fontId="43" fillId="15" borderId="1" xfId="0" applyNumberFormat="1" applyFont="1" applyFill="1" applyBorder="1" applyAlignment="1">
      <alignment horizontal="center" vertical="center" wrapText="1"/>
    </xf>
    <xf numFmtId="0" fontId="43" fillId="15" borderId="1" xfId="0" applyNumberFormat="1" applyFont="1" applyFill="1" applyBorder="1" applyAlignment="1">
      <alignment horizontal="center" vertical="center" wrapText="1"/>
    </xf>
    <xf numFmtId="2" fontId="18" fillId="15" borderId="1" xfId="0" applyNumberFormat="1" applyFont="1" applyFill="1" applyBorder="1" applyAlignment="1">
      <alignment horizontal="center" vertical="center" wrapText="1"/>
    </xf>
    <xf numFmtId="0" fontId="4" fillId="6" borderId="0" xfId="0" applyFont="1" applyFill="1" applyAlignment="1">
      <alignment vertical="center" wrapText="1"/>
    </xf>
    <xf numFmtId="164" fontId="38" fillId="6" borderId="1" xfId="0" applyNumberFormat="1" applyFont="1" applyFill="1" applyBorder="1" applyAlignment="1">
      <alignment vertical="center" wrapText="1"/>
    </xf>
    <xf numFmtId="164" fontId="10" fillId="6" borderId="1" xfId="2" applyNumberFormat="1" applyFont="1" applyFill="1" applyBorder="1" applyAlignment="1">
      <alignment horizontal="center" vertical="center" wrapText="1"/>
    </xf>
    <xf numFmtId="164" fontId="2" fillId="0" borderId="0" xfId="0" applyNumberFormat="1" applyFont="1" applyFill="1" applyBorder="1" applyAlignment="1">
      <alignment horizontal="center" wrapText="1"/>
    </xf>
    <xf numFmtId="0" fontId="2" fillId="0" borderId="0" xfId="0" applyFont="1" applyBorder="1" applyAlignment="1">
      <alignment horizontal="center" wrapText="1"/>
    </xf>
    <xf numFmtId="164" fontId="2" fillId="6" borderId="0" xfId="0" applyNumberFormat="1" applyFont="1" applyFill="1" applyBorder="1" applyAlignment="1">
      <alignment horizontal="center" vertical="center" wrapText="1"/>
    </xf>
    <xf numFmtId="164" fontId="47" fillId="26" borderId="1" xfId="0" applyNumberFormat="1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48" fillId="15" borderId="1" xfId="0" applyFont="1" applyFill="1" applyBorder="1" applyAlignment="1">
      <alignment horizontal="center" vertical="center"/>
    </xf>
    <xf numFmtId="164" fontId="49" fillId="0" borderId="0" xfId="0" applyNumberFormat="1" applyFont="1" applyFill="1" applyAlignment="1">
      <alignment horizontal="center" vertical="center" wrapText="1"/>
    </xf>
    <xf numFmtId="16" fontId="43" fillId="15" borderId="2" xfId="0" applyNumberFormat="1" applyFont="1" applyFill="1" applyBorder="1" applyAlignment="1">
      <alignment horizontal="center" vertical="center" wrapText="1"/>
    </xf>
    <xf numFmtId="16" fontId="43" fillId="15" borderId="47" xfId="0" applyNumberFormat="1" applyFont="1" applyFill="1" applyBorder="1" applyAlignment="1">
      <alignment horizontal="center" vertical="center" wrapText="1"/>
    </xf>
    <xf numFmtId="0" fontId="43" fillId="15" borderId="47" xfId="0" applyNumberFormat="1" applyFont="1" applyFill="1" applyBorder="1" applyAlignment="1">
      <alignment horizontal="center" vertical="center" wrapText="1"/>
    </xf>
    <xf numFmtId="2" fontId="18" fillId="15" borderId="3" xfId="0" applyNumberFormat="1" applyFont="1" applyFill="1" applyBorder="1" applyAlignment="1">
      <alignment horizontal="center" vertical="center" wrapText="1"/>
    </xf>
    <xf numFmtId="164" fontId="52" fillId="2" borderId="1" xfId="0" applyNumberFormat="1" applyFont="1" applyFill="1" applyBorder="1" applyAlignment="1">
      <alignment vertical="center" wrapText="1"/>
    </xf>
    <xf numFmtId="0" fontId="54" fillId="0" borderId="1" xfId="0" applyFont="1" applyBorder="1" applyAlignment="1">
      <alignment vertical="center" wrapText="1"/>
    </xf>
    <xf numFmtId="2" fontId="2" fillId="0" borderId="1" xfId="2" applyNumberFormat="1" applyFont="1" applyBorder="1" applyAlignment="1">
      <alignment horizontal="center" vertical="center" wrapText="1"/>
    </xf>
    <xf numFmtId="0" fontId="55" fillId="15" borderId="1" xfId="0" applyFont="1" applyFill="1" applyBorder="1" applyAlignment="1">
      <alignment horizontal="center" vertical="center" wrapText="1"/>
    </xf>
    <xf numFmtId="0" fontId="3" fillId="6" borderId="0" xfId="0" applyFont="1" applyFill="1" applyAlignment="1">
      <alignment vertical="center" wrapText="1"/>
    </xf>
    <xf numFmtId="0" fontId="50" fillId="6" borderId="1" xfId="0" applyFont="1" applyFill="1" applyBorder="1" applyAlignment="1">
      <alignment vertical="center" wrapText="1"/>
    </xf>
    <xf numFmtId="0" fontId="2" fillId="10" borderId="4" xfId="0" applyFont="1" applyFill="1" applyBorder="1" applyAlignment="1">
      <alignment horizontal="center" vertical="center" wrapText="1"/>
    </xf>
    <xf numFmtId="164" fontId="2" fillId="10" borderId="4" xfId="0" applyNumberFormat="1" applyFont="1" applyFill="1" applyBorder="1" applyAlignment="1">
      <alignment vertical="center" wrapText="1"/>
    </xf>
    <xf numFmtId="14" fontId="11" fillId="13" borderId="88" xfId="0" applyNumberFormat="1" applyFont="1" applyFill="1" applyBorder="1" applyAlignment="1">
      <alignment vertical="center" wrapText="1"/>
    </xf>
    <xf numFmtId="0" fontId="57" fillId="28" borderId="0" xfId="0" applyFont="1" applyFill="1" applyAlignment="1">
      <alignment vertical="center"/>
    </xf>
    <xf numFmtId="164" fontId="57" fillId="28" borderId="0" xfId="0" applyNumberFormat="1" applyFont="1" applyFill="1" applyAlignment="1">
      <alignment vertical="center"/>
    </xf>
    <xf numFmtId="0" fontId="15" fillId="0" borderId="0" xfId="0" applyFont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0" xfId="0" applyFont="1" applyFill="1" applyBorder="1" applyAlignment="1">
      <alignment horizontal="left" vertical="center" wrapText="1"/>
    </xf>
    <xf numFmtId="0" fontId="6" fillId="0" borderId="0" xfId="0" applyFont="1" applyFill="1" applyAlignment="1">
      <alignment vertical="center" wrapText="1"/>
    </xf>
    <xf numFmtId="0" fontId="3" fillId="0" borderId="0" xfId="0" applyFont="1" applyAlignment="1">
      <alignment vertical="center" wrapText="1"/>
    </xf>
    <xf numFmtId="0" fontId="56" fillId="0" borderId="0" xfId="0" applyFont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164" fontId="18" fillId="0" borderId="0" xfId="0" applyNumberFormat="1" applyFont="1" applyBorder="1" applyAlignment="1">
      <alignment horizontal="center" vertical="center" wrapText="1"/>
    </xf>
    <xf numFmtId="0" fontId="43" fillId="0" borderId="0" xfId="0" applyFont="1" applyBorder="1" applyAlignment="1">
      <alignment horizontal="center" vertical="center" wrapText="1"/>
    </xf>
    <xf numFmtId="0" fontId="3" fillId="0" borderId="0" xfId="0" applyFont="1" applyFill="1" applyAlignment="1">
      <alignment vertical="center" wrapText="1"/>
    </xf>
    <xf numFmtId="14" fontId="43" fillId="0" borderId="8" xfId="0" applyNumberFormat="1" applyFont="1" applyBorder="1" applyAlignment="1">
      <alignment horizontal="center" vertical="center" wrapText="1"/>
    </xf>
    <xf numFmtId="14" fontId="11" fillId="13" borderId="0" xfId="0" applyNumberFormat="1" applyFont="1" applyFill="1" applyAlignment="1">
      <alignment horizontal="center" vertical="center" wrapText="1"/>
    </xf>
    <xf numFmtId="14" fontId="43" fillId="0" borderId="100" xfId="0" applyNumberFormat="1" applyFont="1" applyBorder="1" applyAlignment="1">
      <alignment horizontal="center" vertical="center" wrapText="1"/>
    </xf>
    <xf numFmtId="0" fontId="24" fillId="0" borderId="0" xfId="0" applyFont="1"/>
    <xf numFmtId="0" fontId="59" fillId="0" borderId="0" xfId="0" applyFont="1"/>
    <xf numFmtId="0" fontId="60" fillId="0" borderId="0" xfId="0" applyFont="1"/>
    <xf numFmtId="0" fontId="2" fillId="0" borderId="47" xfId="0" applyNumberFormat="1" applyFont="1" applyBorder="1" applyAlignment="1">
      <alignment vertical="center" wrapText="1"/>
    </xf>
    <xf numFmtId="0" fontId="2" fillId="0" borderId="2" xfId="0" applyFont="1" applyBorder="1" applyAlignment="1">
      <alignment vertical="center" wrapText="1"/>
    </xf>
    <xf numFmtId="14" fontId="2" fillId="0" borderId="47" xfId="0" applyNumberFormat="1" applyFont="1" applyBorder="1" applyAlignment="1">
      <alignment horizontal="center" vertical="center" wrapText="1"/>
    </xf>
    <xf numFmtId="0" fontId="2" fillId="0" borderId="47" xfId="0" applyFont="1" applyBorder="1" applyAlignment="1">
      <alignment vertical="center" wrapText="1"/>
    </xf>
    <xf numFmtId="14" fontId="2" fillId="0" borderId="47" xfId="0" applyNumberFormat="1" applyFont="1" applyBorder="1" applyAlignment="1">
      <alignment vertical="center" wrapText="1"/>
    </xf>
    <xf numFmtId="0" fontId="23" fillId="19" borderId="46" xfId="0" applyFont="1" applyFill="1" applyBorder="1" applyAlignment="1">
      <alignment vertical="center"/>
    </xf>
    <xf numFmtId="0" fontId="23" fillId="25" borderId="46" xfId="0" applyFont="1" applyFill="1" applyBorder="1" applyAlignment="1">
      <alignment vertical="center"/>
    </xf>
    <xf numFmtId="164" fontId="23" fillId="25" borderId="46" xfId="0" applyNumberFormat="1" applyFont="1" applyFill="1" applyBorder="1" applyAlignment="1">
      <alignment horizontal="center" vertical="center"/>
    </xf>
    <xf numFmtId="0" fontId="51" fillId="23" borderId="46" xfId="0" applyFont="1" applyFill="1" applyBorder="1" applyAlignment="1">
      <alignment horizontal="center" vertical="center" wrapText="1"/>
    </xf>
    <xf numFmtId="0" fontId="3" fillId="23" borderId="8" xfId="0" applyFont="1" applyFill="1" applyBorder="1" applyAlignment="1">
      <alignment horizontal="center" vertical="center" wrapText="1"/>
    </xf>
    <xf numFmtId="164" fontId="0" fillId="0" borderId="0" xfId="0" applyNumberFormat="1" applyAlignment="1">
      <alignment vertical="center" wrapText="1"/>
    </xf>
    <xf numFmtId="0" fontId="58" fillId="0" borderId="0" xfId="0" applyFont="1" applyAlignment="1">
      <alignment vertical="center"/>
    </xf>
    <xf numFmtId="164" fontId="62" fillId="19" borderId="46" xfId="0" applyNumberFormat="1" applyFont="1" applyFill="1" applyBorder="1" applyAlignment="1">
      <alignment horizontal="center" vertical="center"/>
    </xf>
    <xf numFmtId="14" fontId="9" fillId="22" borderId="0" xfId="0" applyNumberFormat="1" applyFont="1" applyFill="1" applyAlignment="1">
      <alignment vertical="center" wrapText="1"/>
    </xf>
    <xf numFmtId="0" fontId="9" fillId="22" borderId="0" xfId="0" applyFont="1" applyFill="1" applyAlignment="1">
      <alignment horizontal="center" vertical="center" wrapText="1"/>
    </xf>
    <xf numFmtId="166" fontId="18" fillId="0" borderId="46" xfId="0" applyNumberFormat="1" applyFont="1" applyBorder="1" applyAlignment="1">
      <alignment horizontal="center" vertical="center" wrapText="1"/>
    </xf>
    <xf numFmtId="166" fontId="18" fillId="0" borderId="92" xfId="0" applyNumberFormat="1" applyFont="1" applyBorder="1" applyAlignment="1">
      <alignment horizontal="center" vertical="center" wrapText="1"/>
    </xf>
    <xf numFmtId="14" fontId="9" fillId="6" borderId="0" xfId="0" applyNumberFormat="1" applyFont="1" applyFill="1" applyBorder="1" applyAlignment="1">
      <alignment vertical="center" wrapText="1"/>
    </xf>
    <xf numFmtId="0" fontId="2" fillId="22" borderId="0" xfId="0" applyFont="1" applyFill="1" applyBorder="1" applyAlignment="1">
      <alignment vertical="center" wrapText="1"/>
    </xf>
    <xf numFmtId="164" fontId="18" fillId="26" borderId="3" xfId="0" applyNumberFormat="1" applyFont="1" applyFill="1" applyBorder="1" applyAlignment="1">
      <alignment vertical="center" wrapText="1"/>
    </xf>
    <xf numFmtId="164" fontId="63" fillId="5" borderId="1" xfId="0" applyNumberFormat="1" applyFont="1" applyFill="1" applyBorder="1" applyAlignment="1">
      <alignment vertical="center" wrapText="1"/>
    </xf>
    <xf numFmtId="0" fontId="3" fillId="0" borderId="1" xfId="0" applyFont="1" applyBorder="1" applyAlignment="1">
      <alignment horizontal="center" vertical="center" wrapText="1"/>
    </xf>
    <xf numFmtId="164" fontId="64" fillId="27" borderId="106" xfId="0" applyNumberFormat="1" applyFont="1" applyFill="1" applyBorder="1" applyAlignment="1">
      <alignment vertical="center"/>
    </xf>
    <xf numFmtId="0" fontId="23" fillId="27" borderId="0" xfId="0" applyFont="1" applyFill="1" applyAlignment="1">
      <alignment vertical="center"/>
    </xf>
    <xf numFmtId="0" fontId="23" fillId="15" borderId="0" xfId="0" applyFont="1" applyFill="1" applyAlignment="1">
      <alignment horizontal="center" vertical="center"/>
    </xf>
    <xf numFmtId="164" fontId="24" fillId="27" borderId="104" xfId="0" applyNumberFormat="1" applyFont="1" applyFill="1" applyBorder="1" applyAlignment="1">
      <alignment horizontal="center" vertical="center"/>
    </xf>
    <xf numFmtId="164" fontId="0" fillId="15" borderId="105" xfId="0" applyNumberFormat="1" applyFill="1" applyBorder="1" applyAlignment="1">
      <alignment horizontal="center" vertical="center"/>
    </xf>
    <xf numFmtId="164" fontId="0" fillId="15" borderId="107" xfId="0" applyNumberFormat="1" applyFill="1" applyBorder="1" applyAlignment="1">
      <alignment horizontal="center" vertical="center"/>
    </xf>
    <xf numFmtId="164" fontId="0" fillId="15" borderId="109" xfId="0" applyNumberFormat="1" applyFill="1" applyBorder="1" applyAlignment="1">
      <alignment horizontal="center" vertical="center"/>
    </xf>
    <xf numFmtId="164" fontId="63" fillId="12" borderId="1" xfId="0" applyNumberFormat="1" applyFont="1" applyFill="1" applyBorder="1" applyAlignment="1">
      <alignment vertical="center" wrapText="1"/>
    </xf>
    <xf numFmtId="14" fontId="2" fillId="13" borderId="0" xfId="1" applyNumberFormat="1" applyFont="1" applyFill="1" applyAlignment="1">
      <alignment horizontal="right" vertical="center" wrapText="1"/>
    </xf>
    <xf numFmtId="166" fontId="18" fillId="18" borderId="92" xfId="0" applyNumberFormat="1" applyFont="1" applyFill="1" applyBorder="1" applyAlignment="1">
      <alignment horizontal="center" vertical="center" wrapText="1"/>
    </xf>
    <xf numFmtId="14" fontId="43" fillId="18" borderId="100" xfId="0" applyNumberFormat="1" applyFont="1" applyFill="1" applyBorder="1" applyAlignment="1">
      <alignment horizontal="center" vertical="center" wrapText="1"/>
    </xf>
    <xf numFmtId="14" fontId="3" fillId="5" borderId="10" xfId="0" applyNumberFormat="1" applyFont="1" applyFill="1" applyBorder="1" applyAlignment="1">
      <alignment horizontal="center" vertical="center" wrapText="1"/>
    </xf>
    <xf numFmtId="166" fontId="15" fillId="0" borderId="0" xfId="0" applyNumberFormat="1" applyFont="1" applyAlignment="1">
      <alignment horizontal="center" vertical="center" wrapText="1"/>
    </xf>
    <xf numFmtId="166" fontId="18" fillId="3" borderId="92" xfId="0" applyNumberFormat="1" applyFont="1" applyFill="1" applyBorder="1" applyAlignment="1">
      <alignment horizontal="center" vertical="center" wrapText="1"/>
    </xf>
    <xf numFmtId="14" fontId="58" fillId="0" borderId="0" xfId="0" applyNumberFormat="1" applyFont="1" applyAlignment="1">
      <alignment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164" fontId="0" fillId="0" borderId="0" xfId="0" applyNumberFormat="1" applyAlignment="1">
      <alignment vertical="center"/>
    </xf>
    <xf numFmtId="2" fontId="0" fillId="0" borderId="1" xfId="0" applyNumberFormat="1" applyBorder="1" applyAlignment="1">
      <alignment horizontal="center" vertical="center"/>
    </xf>
    <xf numFmtId="14" fontId="0" fillId="0" borderId="1" xfId="0" applyNumberFormat="1" applyBorder="1"/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6" borderId="3" xfId="0" applyFont="1" applyFill="1" applyBorder="1" applyAlignment="1">
      <alignment vertical="center" wrapText="1"/>
    </xf>
    <xf numFmtId="4" fontId="9" fillId="0" borderId="1" xfId="0" applyNumberFormat="1" applyFont="1" applyFill="1" applyBorder="1" applyAlignment="1">
      <alignment vertical="center" wrapText="1"/>
    </xf>
    <xf numFmtId="44" fontId="2" fillId="0" borderId="1" xfId="2" applyFont="1" applyFill="1" applyBorder="1" applyAlignment="1">
      <alignment vertical="center" wrapText="1"/>
    </xf>
    <xf numFmtId="4" fontId="10" fillId="0" borderId="1" xfId="0" applyNumberFormat="1" applyFont="1" applyFill="1" applyBorder="1" applyAlignment="1">
      <alignment vertical="center" wrapText="1"/>
    </xf>
    <xf numFmtId="164" fontId="2" fillId="0" borderId="1" xfId="2" applyNumberFormat="1" applyFont="1" applyFill="1" applyBorder="1" applyAlignment="1">
      <alignment vertical="center" wrapText="1"/>
    </xf>
    <xf numFmtId="4" fontId="18" fillId="0" borderId="1" xfId="0" applyNumberFormat="1" applyFont="1" applyFill="1" applyBorder="1" applyAlignment="1">
      <alignment vertical="center" wrapText="1"/>
    </xf>
    <xf numFmtId="44" fontId="18" fillId="0" borderId="1" xfId="2" applyFont="1" applyFill="1" applyBorder="1" applyAlignment="1">
      <alignment vertical="center" wrapText="1"/>
    </xf>
    <xf numFmtId="0" fontId="10" fillId="0" borderId="1" xfId="0" applyFont="1" applyFill="1" applyBorder="1" applyAlignment="1">
      <alignment vertical="center" wrapText="1"/>
    </xf>
    <xf numFmtId="0" fontId="9" fillId="0" borderId="1" xfId="0" applyFont="1" applyFill="1" applyBorder="1" applyAlignment="1">
      <alignment vertical="center" wrapText="1"/>
    </xf>
    <xf numFmtId="16" fontId="9" fillId="0" borderId="1" xfId="0" applyNumberFormat="1" applyFont="1" applyFill="1" applyBorder="1" applyAlignment="1">
      <alignment vertical="center" wrapText="1"/>
    </xf>
    <xf numFmtId="0" fontId="18" fillId="0" borderId="1" xfId="0" applyFont="1" applyFill="1" applyBorder="1" applyAlignment="1">
      <alignment vertical="center" wrapText="1"/>
    </xf>
    <xf numFmtId="0" fontId="0" fillId="0" borderId="1" xfId="0" applyBorder="1" applyAlignment="1">
      <alignment horizontal="center"/>
    </xf>
    <xf numFmtId="164" fontId="66" fillId="6" borderId="3" xfId="0" applyNumberFormat="1" applyFont="1" applyFill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164" fontId="0" fillId="6" borderId="46" xfId="0" applyNumberForma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2" fontId="0" fillId="0" borderId="1" xfId="0" applyNumberFormat="1" applyBorder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14" fontId="23" fillId="6" borderId="0" xfId="0" applyNumberFormat="1" applyFont="1" applyFill="1" applyAlignment="1">
      <alignment horizontal="center"/>
    </xf>
    <xf numFmtId="44" fontId="18" fillId="29" borderId="3" xfId="0" applyNumberFormat="1" applyFont="1" applyFill="1" applyBorder="1" applyAlignment="1">
      <alignment vertical="center" wrapText="1"/>
    </xf>
    <xf numFmtId="166" fontId="39" fillId="0" borderId="92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wrapText="1"/>
    </xf>
    <xf numFmtId="0" fontId="0" fillId="0" borderId="46" xfId="0" applyBorder="1" applyAlignment="1">
      <alignment horizontal="left" vertical="center"/>
    </xf>
    <xf numFmtId="164" fontId="68" fillId="10" borderId="1" xfId="0" applyNumberFormat="1" applyFont="1" applyFill="1" applyBorder="1" applyAlignment="1">
      <alignment vertical="center" wrapText="1"/>
    </xf>
    <xf numFmtId="164" fontId="67" fillId="0" borderId="1" xfId="1" applyNumberFormat="1" applyFont="1" applyFill="1" applyBorder="1" applyAlignment="1">
      <alignment horizontal="right" vertical="center" wrapText="1"/>
    </xf>
    <xf numFmtId="2" fontId="0" fillId="0" borderId="3" xfId="0" applyNumberFormat="1" applyBorder="1" applyAlignment="1">
      <alignment horizontal="center" vertical="center"/>
    </xf>
    <xf numFmtId="164" fontId="5" fillId="0" borderId="1" xfId="1" applyNumberFormat="1" applyFont="1" applyFill="1" applyBorder="1" applyAlignment="1">
      <alignment horizontal="right" vertical="center" wrapText="1"/>
    </xf>
    <xf numFmtId="0" fontId="69" fillId="0" borderId="1" xfId="0" applyFont="1" applyFill="1" applyBorder="1" applyAlignment="1">
      <alignment horizontal="center" vertical="center" wrapText="1"/>
    </xf>
    <xf numFmtId="0" fontId="2" fillId="29" borderId="0" xfId="0" applyFont="1" applyFill="1" applyBorder="1" applyAlignment="1">
      <alignment horizontal="center" vertical="center" wrapText="1"/>
    </xf>
    <xf numFmtId="0" fontId="21" fillId="29" borderId="0" xfId="0" applyFont="1" applyFill="1" applyBorder="1" applyAlignment="1">
      <alignment horizontal="center" vertical="center" wrapText="1"/>
    </xf>
    <xf numFmtId="0" fontId="21" fillId="29" borderId="0" xfId="0" applyFont="1" applyFill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47" xfId="0" applyFont="1" applyBorder="1" applyAlignment="1">
      <alignment horizontal="center" vertical="center" wrapText="1"/>
    </xf>
    <xf numFmtId="0" fontId="3" fillId="10" borderId="1" xfId="0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6" borderId="2" xfId="0" applyFont="1" applyFill="1" applyBorder="1" applyAlignment="1">
      <alignment horizontal="center" vertical="center" wrapText="1"/>
    </xf>
    <xf numFmtId="0" fontId="2" fillId="6" borderId="47" xfId="0" applyFont="1" applyFill="1" applyBorder="1" applyAlignment="1">
      <alignment horizontal="center" vertical="center" wrapText="1"/>
    </xf>
    <xf numFmtId="0" fontId="2" fillId="6" borderId="3" xfId="0" applyFont="1" applyFill="1" applyBorder="1" applyAlignment="1">
      <alignment horizontal="center" vertical="center" wrapText="1"/>
    </xf>
    <xf numFmtId="0" fontId="19" fillId="6" borderId="1" xfId="0" applyFont="1" applyFill="1" applyBorder="1" applyAlignment="1">
      <alignment horizontal="center" vertical="center" wrapText="1"/>
    </xf>
    <xf numFmtId="0" fontId="34" fillId="22" borderId="65" xfId="0" applyFont="1" applyFill="1" applyBorder="1" applyAlignment="1">
      <alignment horizontal="center" vertical="center" wrapText="1"/>
    </xf>
    <xf numFmtId="0" fontId="34" fillId="22" borderId="0" xfId="0" applyFont="1" applyFill="1" applyAlignment="1">
      <alignment horizontal="center" vertical="center" wrapText="1"/>
    </xf>
    <xf numFmtId="0" fontId="2" fillId="26" borderId="2" xfId="0" applyFont="1" applyFill="1" applyBorder="1" applyAlignment="1">
      <alignment horizontal="center" vertical="center" wrapText="1"/>
    </xf>
    <xf numFmtId="0" fontId="2" fillId="26" borderId="47" xfId="0" applyFont="1" applyFill="1" applyBorder="1" applyAlignment="1">
      <alignment horizontal="center" vertical="center" wrapText="1"/>
    </xf>
    <xf numFmtId="4" fontId="20" fillId="6" borderId="2" xfId="0" applyNumberFormat="1" applyFont="1" applyFill="1" applyBorder="1" applyAlignment="1">
      <alignment horizontal="center" vertical="center" wrapText="1"/>
    </xf>
    <xf numFmtId="4" fontId="20" fillId="6" borderId="3" xfId="0" applyNumberFormat="1" applyFont="1" applyFill="1" applyBorder="1" applyAlignment="1">
      <alignment horizontal="center" vertical="center" wrapText="1"/>
    </xf>
    <xf numFmtId="0" fontId="36" fillId="6" borderId="65" xfId="0" applyFont="1" applyFill="1" applyBorder="1" applyAlignment="1">
      <alignment horizontal="center" vertical="center" wrapText="1"/>
    </xf>
    <xf numFmtId="0" fontId="36" fillId="6" borderId="0" xfId="0" applyFont="1" applyFill="1" applyAlignment="1">
      <alignment horizontal="center" vertical="center" wrapText="1"/>
    </xf>
    <xf numFmtId="0" fontId="23" fillId="6" borderId="2" xfId="0" applyFont="1" applyFill="1" applyBorder="1" applyAlignment="1">
      <alignment horizontal="center" vertical="center"/>
    </xf>
    <xf numFmtId="0" fontId="23" fillId="6" borderId="47" xfId="0" applyFont="1" applyFill="1" applyBorder="1" applyAlignment="1">
      <alignment horizontal="center" vertical="center"/>
    </xf>
    <xf numFmtId="0" fontId="34" fillId="15" borderId="65" xfId="0" applyFont="1" applyFill="1" applyBorder="1" applyAlignment="1">
      <alignment horizontal="center" vertical="center" wrapText="1"/>
    </xf>
    <xf numFmtId="0" fontId="34" fillId="15" borderId="0" xfId="0" applyFont="1" applyFill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164" fontId="65" fillId="12" borderId="2" xfId="0" applyNumberFormat="1" applyFont="1" applyFill="1" applyBorder="1" applyAlignment="1">
      <alignment horizontal="center" vertical="center" wrapText="1"/>
    </xf>
    <xf numFmtId="164" fontId="65" fillId="12" borderId="47" xfId="0" applyNumberFormat="1" applyFont="1" applyFill="1" applyBorder="1" applyAlignment="1">
      <alignment horizontal="center" vertical="center" wrapText="1"/>
    </xf>
    <xf numFmtId="164" fontId="65" fillId="12" borderId="3" xfId="0" applyNumberFormat="1" applyFont="1" applyFill="1" applyBorder="1" applyAlignment="1">
      <alignment horizontal="center" vertical="center" wrapText="1"/>
    </xf>
    <xf numFmtId="164" fontId="45" fillId="5" borderId="2" xfId="0" applyNumberFormat="1" applyFont="1" applyFill="1" applyBorder="1" applyAlignment="1">
      <alignment horizontal="center" vertical="center"/>
    </xf>
    <xf numFmtId="164" fontId="45" fillId="5" borderId="47" xfId="0" applyNumberFormat="1" applyFont="1" applyFill="1" applyBorder="1" applyAlignment="1">
      <alignment horizontal="center" vertical="center"/>
    </xf>
    <xf numFmtId="164" fontId="45" fillId="5" borderId="3" xfId="0" applyNumberFormat="1" applyFont="1" applyFill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164" fontId="0" fillId="0" borderId="47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64" fontId="51" fillId="0" borderId="2" xfId="0" applyNumberFormat="1" applyFont="1" applyBorder="1" applyAlignment="1">
      <alignment horizontal="center" vertical="center" wrapText="1"/>
    </xf>
    <xf numFmtId="164" fontId="51" fillId="0" borderId="47" xfId="0" applyNumberFormat="1" applyFont="1" applyBorder="1" applyAlignment="1">
      <alignment horizontal="center" vertical="center" wrapText="1"/>
    </xf>
    <xf numFmtId="164" fontId="51" fillId="0" borderId="3" xfId="0" applyNumberFormat="1" applyFont="1" applyBorder="1" applyAlignment="1">
      <alignment horizontal="center" vertical="center" wrapText="1"/>
    </xf>
    <xf numFmtId="14" fontId="23" fillId="6" borderId="47" xfId="0" applyNumberFormat="1" applyFont="1" applyFill="1" applyBorder="1" applyAlignment="1">
      <alignment horizontal="center" vertical="center"/>
    </xf>
    <xf numFmtId="0" fontId="0" fillId="0" borderId="20" xfId="0" applyBorder="1" applyAlignment="1">
      <alignment vertical="center"/>
    </xf>
    <xf numFmtId="14" fontId="0" fillId="0" borderId="20" xfId="0" applyNumberFormat="1" applyBorder="1" applyAlignment="1">
      <alignment horizontal="center" vertical="center"/>
    </xf>
    <xf numFmtId="164" fontId="2" fillId="0" borderId="20" xfId="0" applyNumberFormat="1" applyFont="1" applyFill="1" applyBorder="1" applyAlignment="1">
      <alignment vertical="center" wrapText="1"/>
    </xf>
    <xf numFmtId="0" fontId="0" fillId="29" borderId="1" xfId="0" applyFill="1" applyBorder="1" applyAlignment="1">
      <alignment horizontal="center" vertical="center"/>
    </xf>
    <xf numFmtId="8" fontId="0" fillId="29" borderId="1" xfId="0" applyNumberFormat="1" applyFill="1" applyBorder="1" applyAlignment="1">
      <alignment vertical="center"/>
    </xf>
    <xf numFmtId="0" fontId="0" fillId="29" borderId="1" xfId="0" applyFill="1" applyBorder="1" applyAlignment="1">
      <alignment vertical="center"/>
    </xf>
    <xf numFmtId="164" fontId="0" fillId="29" borderId="1" xfId="0" applyNumberFormat="1" applyFill="1" applyBorder="1" applyAlignment="1">
      <alignment vertical="center"/>
    </xf>
    <xf numFmtId="0" fontId="0" fillId="28" borderId="1" xfId="0" applyFill="1" applyBorder="1" applyAlignment="1">
      <alignment vertical="center"/>
    </xf>
    <xf numFmtId="8" fontId="0" fillId="28" borderId="1" xfId="0" applyNumberFormat="1" applyFill="1" applyBorder="1" applyAlignment="1">
      <alignment vertical="center"/>
    </xf>
    <xf numFmtId="0" fontId="0" fillId="0" borderId="20" xfId="0" applyBorder="1" applyAlignment="1">
      <alignment horizontal="center" vertical="center"/>
    </xf>
    <xf numFmtId="164" fontId="64" fillId="27" borderId="109" xfId="0" applyNumberFormat="1" applyFont="1" applyFill="1" applyBorder="1" applyAlignment="1">
      <alignment vertical="center"/>
    </xf>
    <xf numFmtId="164" fontId="64" fillId="28" borderId="1" xfId="0" applyNumberFormat="1" applyFont="1" applyFill="1" applyBorder="1" applyAlignment="1">
      <alignment vertical="center"/>
    </xf>
    <xf numFmtId="0" fontId="57" fillId="28" borderId="1" xfId="0" applyFont="1" applyFill="1" applyBorder="1" applyAlignment="1">
      <alignment vertical="center"/>
    </xf>
    <xf numFmtId="164" fontId="57" fillId="28" borderId="1" xfId="0" applyNumberFormat="1" applyFont="1" applyFill="1" applyBorder="1" applyAlignment="1">
      <alignment vertical="center"/>
    </xf>
    <xf numFmtId="164" fontId="23" fillId="28" borderId="1" xfId="0" applyNumberFormat="1" applyFont="1" applyFill="1" applyBorder="1" applyAlignment="1">
      <alignment horizontal="center" vertical="center"/>
    </xf>
    <xf numFmtId="164" fontId="71" fillId="29" borderId="106" xfId="0" applyNumberFormat="1" applyFont="1" applyFill="1" applyBorder="1" applyAlignment="1">
      <alignment vertical="center"/>
    </xf>
    <xf numFmtId="164" fontId="70" fillId="29" borderId="107" xfId="0" applyNumberFormat="1" applyFont="1" applyFill="1" applyBorder="1" applyAlignment="1">
      <alignment horizontal="center" vertical="center"/>
    </xf>
    <xf numFmtId="164" fontId="71" fillId="29" borderId="108" xfId="0" applyNumberFormat="1" applyFont="1" applyFill="1" applyBorder="1" applyAlignment="1">
      <alignment vertical="center"/>
    </xf>
    <xf numFmtId="164" fontId="70" fillId="29" borderId="109" xfId="0" applyNumberFormat="1" applyFont="1" applyFill="1" applyBorder="1" applyAlignment="1">
      <alignment horizontal="center" vertical="center"/>
    </xf>
    <xf numFmtId="14" fontId="0" fillId="0" borderId="1" xfId="0" applyNumberFormat="1" applyBorder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14" fontId="0" fillId="0" borderId="1" xfId="0" applyNumberFormat="1" applyBorder="1" applyAlignment="1">
      <alignment vertical="center"/>
    </xf>
    <xf numFmtId="14" fontId="0" fillId="0" borderId="46" xfId="0" applyNumberFormat="1" applyBorder="1" applyAlignment="1">
      <alignment horizontal="right" vertical="center"/>
    </xf>
    <xf numFmtId="164" fontId="5" fillId="6" borderId="1" xfId="1" applyNumberFormat="1" applyFont="1" applyFill="1" applyBorder="1" applyAlignment="1">
      <alignment horizontal="right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164" fontId="5" fillId="0" borderId="1" xfId="0" applyNumberFormat="1" applyFont="1" applyBorder="1" applyAlignment="1">
      <alignment vertical="center" wrapText="1"/>
    </xf>
    <xf numFmtId="0" fontId="3" fillId="6" borderId="65" xfId="0" applyFont="1" applyFill="1" applyBorder="1" applyAlignment="1">
      <alignment horizontal="left" vertical="center" wrapText="1"/>
    </xf>
    <xf numFmtId="0" fontId="14" fillId="10" borderId="2" xfId="0" applyFont="1" applyFill="1" applyBorder="1" applyAlignment="1">
      <alignment horizontal="left" vertical="center" wrapText="1"/>
    </xf>
    <xf numFmtId="0" fontId="14" fillId="10" borderId="47" xfId="0" applyFont="1" applyFill="1" applyBorder="1" applyAlignment="1">
      <alignment horizontal="left" vertical="center" wrapText="1"/>
    </xf>
    <xf numFmtId="0" fontId="41" fillId="0" borderId="13" xfId="0" applyFont="1" applyFill="1" applyBorder="1" applyAlignment="1">
      <alignment horizontal="left" vertical="center" wrapText="1"/>
    </xf>
    <xf numFmtId="0" fontId="41" fillId="0" borderId="0" xfId="0" applyFont="1" applyFill="1" applyAlignment="1">
      <alignment horizontal="left" vertical="center" wrapText="1"/>
    </xf>
    <xf numFmtId="0" fontId="61" fillId="0" borderId="7" xfId="0" applyFont="1" applyBorder="1" applyAlignment="1">
      <alignment vertical="center" wrapText="1"/>
    </xf>
    <xf numFmtId="0" fontId="61" fillId="0" borderId="46" xfId="0" applyFont="1" applyBorder="1" applyAlignment="1">
      <alignment vertical="center" wrapText="1"/>
    </xf>
    <xf numFmtId="0" fontId="61" fillId="18" borderId="7" xfId="0" applyFont="1" applyFill="1" applyBorder="1" applyAlignment="1">
      <alignment vertical="center" wrapText="1"/>
    </xf>
    <xf numFmtId="0" fontId="61" fillId="18" borderId="46" xfId="0" applyFont="1" applyFill="1" applyBorder="1" applyAlignment="1">
      <alignment vertical="center" wrapText="1"/>
    </xf>
    <xf numFmtId="0" fontId="21" fillId="29" borderId="13" xfId="0" applyFont="1" applyFill="1" applyBorder="1" applyAlignment="1">
      <alignment horizontal="center" vertical="center" wrapText="1"/>
    </xf>
    <xf numFmtId="0" fontId="21" fillId="29" borderId="0" xfId="0" applyFont="1" applyFill="1" applyAlignment="1">
      <alignment horizontal="center" vertical="center" wrapText="1"/>
    </xf>
    <xf numFmtId="0" fontId="2" fillId="29" borderId="13" xfId="0" applyFont="1" applyFill="1" applyBorder="1" applyAlignment="1">
      <alignment horizontal="center" vertical="center" wrapText="1"/>
    </xf>
    <xf numFmtId="0" fontId="2" fillId="29" borderId="14" xfId="0" applyFont="1" applyFill="1" applyBorder="1" applyAlignment="1">
      <alignment horizontal="center" vertical="center" wrapText="1"/>
    </xf>
    <xf numFmtId="0" fontId="41" fillId="29" borderId="13" xfId="0" applyFont="1" applyFill="1" applyBorder="1" applyAlignment="1">
      <alignment horizontal="left" vertical="center" wrapText="1"/>
    </xf>
    <xf numFmtId="0" fontId="41" fillId="29" borderId="0" xfId="0" applyFont="1" applyFill="1" applyAlignment="1">
      <alignment horizontal="left" vertical="center" wrapText="1"/>
    </xf>
    <xf numFmtId="0" fontId="3" fillId="6" borderId="65" xfId="0" applyFont="1" applyFill="1" applyBorder="1" applyAlignment="1">
      <alignment horizontal="center" vertical="center" wrapText="1"/>
    </xf>
    <xf numFmtId="0" fontId="3" fillId="6" borderId="0" xfId="0" applyFont="1" applyFill="1" applyAlignment="1">
      <alignment horizontal="center" vertical="center" wrapText="1"/>
    </xf>
    <xf numFmtId="0" fontId="2" fillId="22" borderId="0" xfId="0" applyFont="1" applyFill="1" applyAlignment="1">
      <alignment horizontal="center" vertical="center" wrapText="1"/>
    </xf>
    <xf numFmtId="0" fontId="3" fillId="5" borderId="110" xfId="0" applyFont="1" applyFill="1" applyBorder="1" applyAlignment="1">
      <alignment horizontal="right" vertical="center" wrapText="1"/>
    </xf>
    <xf numFmtId="0" fontId="3" fillId="5" borderId="111" xfId="0" applyFont="1" applyFill="1" applyBorder="1" applyAlignment="1">
      <alignment horizontal="right" vertical="center" wrapText="1"/>
    </xf>
    <xf numFmtId="0" fontId="3" fillId="5" borderId="112" xfId="0" applyFont="1" applyFill="1" applyBorder="1" applyAlignment="1">
      <alignment horizontal="right" vertical="center" wrapText="1"/>
    </xf>
    <xf numFmtId="0" fontId="56" fillId="2" borderId="97" xfId="0" applyFont="1" applyFill="1" applyBorder="1" applyAlignment="1">
      <alignment horizontal="center" vertical="center" wrapText="1"/>
    </xf>
    <xf numFmtId="0" fontId="56" fillId="2" borderId="98" xfId="0" applyFont="1" applyFill="1" applyBorder="1" applyAlignment="1">
      <alignment horizontal="center" vertical="center" wrapText="1"/>
    </xf>
    <xf numFmtId="0" fontId="56" fillId="2" borderId="99" xfId="0" applyFont="1" applyFill="1" applyBorder="1" applyAlignment="1">
      <alignment horizontal="center" vertical="center" wrapText="1"/>
    </xf>
    <xf numFmtId="0" fontId="3" fillId="10" borderId="2" xfId="0" applyFont="1" applyFill="1" applyBorder="1" applyAlignment="1">
      <alignment horizontal="left" vertical="center" wrapText="1"/>
    </xf>
    <xf numFmtId="0" fontId="3" fillId="10" borderId="47" xfId="0" applyFont="1" applyFill="1" applyBorder="1" applyAlignment="1">
      <alignment horizontal="left" vertical="center" wrapText="1"/>
    </xf>
    <xf numFmtId="0" fontId="3" fillId="10" borderId="3" xfId="0" applyFont="1" applyFill="1" applyBorder="1" applyAlignment="1">
      <alignment horizontal="left" vertical="center" wrapText="1"/>
    </xf>
    <xf numFmtId="14" fontId="9" fillId="6" borderId="2" xfId="0" quotePrefix="1" applyNumberFormat="1" applyFont="1" applyFill="1" applyBorder="1" applyAlignment="1">
      <alignment horizontal="center" vertical="center" wrapText="1"/>
    </xf>
    <xf numFmtId="14" fontId="9" fillId="6" borderId="47" xfId="0" quotePrefix="1" applyNumberFormat="1" applyFont="1" applyFill="1" applyBorder="1" applyAlignment="1">
      <alignment horizontal="center" vertical="center" wrapText="1"/>
    </xf>
    <xf numFmtId="14" fontId="9" fillId="6" borderId="3" xfId="0" quotePrefix="1" applyNumberFormat="1" applyFont="1" applyFill="1" applyBorder="1" applyAlignment="1">
      <alignment horizontal="center" vertical="center" wrapText="1"/>
    </xf>
    <xf numFmtId="0" fontId="15" fillId="0" borderId="56" xfId="0" applyFont="1" applyBorder="1" applyAlignment="1">
      <alignment horizontal="center" vertical="center" wrapText="1"/>
    </xf>
    <xf numFmtId="0" fontId="15" fillId="0" borderId="90" xfId="0" applyFont="1" applyBorder="1" applyAlignment="1">
      <alignment horizontal="center" vertical="center" wrapText="1"/>
    </xf>
    <xf numFmtId="0" fontId="15" fillId="0" borderId="91" xfId="0" applyFont="1" applyBorder="1" applyAlignment="1">
      <alignment horizontal="center" vertical="center" wrapText="1"/>
    </xf>
    <xf numFmtId="0" fontId="11" fillId="13" borderId="86" xfId="0" applyFont="1" applyFill="1" applyBorder="1" applyAlignment="1">
      <alignment horizontal="center" vertical="center" wrapText="1"/>
    </xf>
    <xf numFmtId="0" fontId="11" fillId="13" borderId="87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47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3" fillId="10" borderId="1" xfId="0" applyFont="1" applyFill="1" applyBorder="1" applyAlignment="1">
      <alignment horizontal="left" vertical="center" wrapText="1"/>
    </xf>
    <xf numFmtId="0" fontId="3" fillId="10" borderId="4" xfId="0" applyFont="1" applyFill="1" applyBorder="1" applyAlignment="1">
      <alignment horizontal="left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47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16" fillId="12" borderId="1" xfId="0" applyFont="1" applyFill="1" applyBorder="1" applyAlignment="1">
      <alignment horizontal="center" vertical="center" wrapText="1"/>
    </xf>
    <xf numFmtId="0" fontId="18" fillId="0" borderId="2" xfId="0" applyFont="1" applyBorder="1" applyAlignment="1">
      <alignment horizontal="right" vertical="center" wrapText="1"/>
    </xf>
    <xf numFmtId="0" fontId="18" fillId="0" borderId="47" xfId="0" applyFont="1" applyBorder="1" applyAlignment="1">
      <alignment horizontal="right" vertical="center" wrapText="1"/>
    </xf>
    <xf numFmtId="0" fontId="18" fillId="0" borderId="3" xfId="0" applyFont="1" applyBorder="1" applyAlignment="1">
      <alignment horizontal="right" vertical="center" wrapText="1"/>
    </xf>
    <xf numFmtId="0" fontId="61" fillId="0" borderId="101" xfId="0" applyFont="1" applyBorder="1" applyAlignment="1">
      <alignment vertical="center" wrapText="1"/>
    </xf>
    <xf numFmtId="0" fontId="61" fillId="0" borderId="90" xfId="0" applyFont="1" applyBorder="1" applyAlignment="1">
      <alignment vertical="center" wrapText="1"/>
    </xf>
    <xf numFmtId="0" fontId="61" fillId="0" borderId="91" xfId="0" applyFont="1" applyBorder="1" applyAlignment="1">
      <alignment vertical="center" wrapText="1"/>
    </xf>
    <xf numFmtId="0" fontId="61" fillId="18" borderId="101" xfId="0" applyFont="1" applyFill="1" applyBorder="1" applyAlignment="1">
      <alignment horizontal="left" vertical="center" wrapText="1"/>
    </xf>
    <xf numFmtId="0" fontId="61" fillId="18" borderId="90" xfId="0" applyFont="1" applyFill="1" applyBorder="1" applyAlignment="1">
      <alignment horizontal="left" vertical="center" wrapText="1"/>
    </xf>
    <xf numFmtId="0" fontId="61" fillId="18" borderId="91" xfId="0" applyFont="1" applyFill="1" applyBorder="1" applyAlignment="1">
      <alignment horizontal="left" vertical="center" wrapText="1"/>
    </xf>
    <xf numFmtId="0" fontId="61" fillId="0" borderId="101" xfId="0" applyFont="1" applyBorder="1" applyAlignment="1">
      <alignment horizontal="center" vertical="center" wrapText="1"/>
    </xf>
    <xf numFmtId="0" fontId="61" fillId="0" borderId="90" xfId="0" applyFont="1" applyBorder="1" applyAlignment="1">
      <alignment horizontal="center" vertical="center" wrapText="1"/>
    </xf>
    <xf numFmtId="0" fontId="61" fillId="0" borderId="91" xfId="0" applyFont="1" applyBorder="1" applyAlignment="1">
      <alignment horizontal="center" vertical="center" wrapText="1"/>
    </xf>
    <xf numFmtId="0" fontId="61" fillId="0" borderId="101" xfId="0" applyFont="1" applyBorder="1" applyAlignment="1">
      <alignment horizontal="left" vertical="center" wrapText="1"/>
    </xf>
    <xf numFmtId="0" fontId="61" fillId="0" borderId="90" xfId="0" applyFont="1" applyBorder="1" applyAlignment="1">
      <alignment horizontal="left" vertical="center" wrapText="1"/>
    </xf>
    <xf numFmtId="0" fontId="61" fillId="0" borderId="91" xfId="0" applyFont="1" applyBorder="1" applyAlignment="1">
      <alignment horizontal="left" vertical="center" wrapText="1"/>
    </xf>
    <xf numFmtId="0" fontId="51" fillId="23" borderId="7" xfId="0" applyFont="1" applyFill="1" applyBorder="1" applyAlignment="1">
      <alignment horizontal="center" vertical="center" wrapText="1"/>
    </xf>
    <xf numFmtId="0" fontId="51" fillId="23" borderId="46" xfId="0" applyFont="1" applyFill="1" applyBorder="1" applyAlignment="1">
      <alignment horizontal="center" vertical="center" wrapText="1"/>
    </xf>
    <xf numFmtId="0" fontId="61" fillId="3" borderId="7" xfId="0" applyFont="1" applyFill="1" applyBorder="1" applyAlignment="1">
      <alignment vertical="center" wrapText="1"/>
    </xf>
    <xf numFmtId="0" fontId="61" fillId="3" borderId="46" xfId="0" applyFont="1" applyFill="1" applyBorder="1" applyAlignment="1">
      <alignment vertical="center" wrapText="1"/>
    </xf>
    <xf numFmtId="0" fontId="18" fillId="6" borderId="2" xfId="0" applyFont="1" applyFill="1" applyBorder="1" applyAlignment="1">
      <alignment horizontal="center" vertical="center" wrapText="1"/>
    </xf>
    <xf numFmtId="0" fontId="18" fillId="6" borderId="47" xfId="0" applyFont="1" applyFill="1" applyBorder="1" applyAlignment="1">
      <alignment horizontal="center" vertical="center" wrapText="1"/>
    </xf>
    <xf numFmtId="0" fontId="18" fillId="6" borderId="3" xfId="0" applyFont="1" applyFill="1" applyBorder="1" applyAlignment="1">
      <alignment horizontal="center" vertical="center" wrapText="1"/>
    </xf>
    <xf numFmtId="0" fontId="2" fillId="6" borderId="65" xfId="0" applyFont="1" applyFill="1" applyBorder="1" applyAlignment="1">
      <alignment horizontal="center" vertical="center" wrapText="1"/>
    </xf>
    <xf numFmtId="0" fontId="37" fillId="10" borderId="2" xfId="0" applyFont="1" applyFill="1" applyBorder="1" applyAlignment="1">
      <alignment horizontal="left" vertical="center" wrapText="1"/>
    </xf>
    <xf numFmtId="0" fontId="37" fillId="10" borderId="47" xfId="0" applyFont="1" applyFill="1" applyBorder="1" applyAlignment="1">
      <alignment horizontal="left" vertical="center" wrapText="1"/>
    </xf>
    <xf numFmtId="0" fontId="37" fillId="10" borderId="3" xfId="0" applyFont="1" applyFill="1" applyBorder="1" applyAlignment="1">
      <alignment horizontal="left" vertical="center" wrapText="1"/>
    </xf>
    <xf numFmtId="0" fontId="9" fillId="6" borderId="2" xfId="0" applyFont="1" applyFill="1" applyBorder="1" applyAlignment="1">
      <alignment horizontal="center" vertical="center" wrapText="1"/>
    </xf>
    <xf numFmtId="0" fontId="9" fillId="6" borderId="47" xfId="0" applyFont="1" applyFill="1" applyBorder="1" applyAlignment="1">
      <alignment horizontal="center" vertical="center" wrapText="1"/>
    </xf>
    <xf numFmtId="0" fontId="9" fillId="6" borderId="3" xfId="0" applyFont="1" applyFill="1" applyBorder="1" applyAlignment="1">
      <alignment horizontal="center" vertical="center" wrapText="1"/>
    </xf>
    <xf numFmtId="0" fontId="3" fillId="6" borderId="20" xfId="0" applyFont="1" applyFill="1" applyBorder="1" applyAlignment="1">
      <alignment horizontal="center" vertical="center" wrapText="1"/>
    </xf>
    <xf numFmtId="0" fontId="3" fillId="6" borderId="4" xfId="0" applyFont="1" applyFill="1" applyBorder="1" applyAlignment="1">
      <alignment horizontal="center" vertical="center" wrapText="1"/>
    </xf>
    <xf numFmtId="0" fontId="3" fillId="6" borderId="2" xfId="0" applyFont="1" applyFill="1" applyBorder="1" applyAlignment="1">
      <alignment horizontal="center" vertical="center" wrapText="1"/>
    </xf>
    <xf numFmtId="0" fontId="3" fillId="6" borderId="47" xfId="0" applyFont="1" applyFill="1" applyBorder="1" applyAlignment="1">
      <alignment horizontal="center" vertical="center" wrapText="1"/>
    </xf>
    <xf numFmtId="0" fontId="3" fillId="6" borderId="3" xfId="0" applyFont="1" applyFill="1" applyBorder="1" applyAlignment="1">
      <alignment horizontal="center" vertical="center" wrapText="1"/>
    </xf>
    <xf numFmtId="0" fontId="2" fillId="0" borderId="20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18" fillId="0" borderId="33" xfId="0" applyFont="1" applyBorder="1" applyAlignment="1">
      <alignment horizontal="center" vertical="center" wrapText="1"/>
    </xf>
    <xf numFmtId="0" fontId="18" fillId="0" borderId="82" xfId="0" applyFont="1" applyBorder="1" applyAlignment="1">
      <alignment horizontal="center" vertical="center" wrapText="1"/>
    </xf>
    <xf numFmtId="0" fontId="18" fillId="0" borderId="35" xfId="0" applyFont="1" applyBorder="1" applyAlignment="1">
      <alignment horizontal="center" vertical="center" wrapText="1"/>
    </xf>
    <xf numFmtId="0" fontId="18" fillId="0" borderId="67" xfId="0" applyFont="1" applyBorder="1" applyAlignment="1">
      <alignment horizontal="center" vertical="center" wrapText="1"/>
    </xf>
    <xf numFmtId="0" fontId="18" fillId="0" borderId="81" xfId="0" applyFont="1" applyBorder="1" applyAlignment="1">
      <alignment horizontal="center" vertical="center" wrapText="1"/>
    </xf>
    <xf numFmtId="0" fontId="18" fillId="0" borderId="68" xfId="0" applyFont="1" applyBorder="1" applyAlignment="1">
      <alignment horizontal="center" vertical="center" wrapText="1"/>
    </xf>
    <xf numFmtId="0" fontId="5" fillId="0" borderId="2" xfId="0" applyNumberFormat="1" applyFont="1" applyBorder="1" applyAlignment="1">
      <alignment horizontal="center" vertical="center" wrapText="1"/>
    </xf>
    <xf numFmtId="0" fontId="5" fillId="0" borderId="47" xfId="0" applyNumberFormat="1" applyFont="1" applyBorder="1" applyAlignment="1">
      <alignment horizontal="center" vertical="center" wrapText="1"/>
    </xf>
    <xf numFmtId="0" fontId="5" fillId="0" borderId="3" xfId="0" applyNumberFormat="1" applyFont="1" applyBorder="1" applyAlignment="1">
      <alignment horizontal="center" vertical="center" wrapText="1"/>
    </xf>
    <xf numFmtId="0" fontId="2" fillId="0" borderId="2" xfId="0" applyNumberFormat="1" applyFont="1" applyBorder="1" applyAlignment="1">
      <alignment horizontal="center" vertical="center" wrapText="1"/>
    </xf>
    <xf numFmtId="0" fontId="2" fillId="0" borderId="47" xfId="0" applyNumberFormat="1" applyFont="1" applyBorder="1" applyAlignment="1">
      <alignment horizontal="center" vertical="center" wrapText="1"/>
    </xf>
    <xf numFmtId="0" fontId="2" fillId="0" borderId="3" xfId="0" applyNumberFormat="1" applyFont="1" applyBorder="1" applyAlignment="1">
      <alignment horizontal="center" vertical="center" wrapText="1"/>
    </xf>
    <xf numFmtId="0" fontId="61" fillId="29" borderId="65" xfId="0" applyFont="1" applyFill="1" applyBorder="1" applyAlignment="1">
      <alignment horizontal="left" vertical="center" wrapText="1"/>
    </xf>
    <xf numFmtId="0" fontId="61" fillId="29" borderId="0" xfId="0" applyFont="1" applyFill="1" applyAlignment="1">
      <alignment horizontal="left" vertical="center" wrapText="1"/>
    </xf>
    <xf numFmtId="16" fontId="9" fillId="12" borderId="0" xfId="0" applyNumberFormat="1" applyFont="1" applyFill="1" applyAlignment="1">
      <alignment horizontal="center" vertical="center" wrapText="1"/>
    </xf>
    <xf numFmtId="0" fontId="56" fillId="6" borderId="2" xfId="0" applyFont="1" applyFill="1" applyBorder="1" applyAlignment="1">
      <alignment horizontal="center" vertical="center" wrapText="1"/>
    </xf>
    <xf numFmtId="0" fontId="56" fillId="6" borderId="47" xfId="0" applyFont="1" applyFill="1" applyBorder="1" applyAlignment="1">
      <alignment horizontal="center" vertical="center" wrapText="1"/>
    </xf>
    <xf numFmtId="0" fontId="56" fillId="6" borderId="3" xfId="0" applyFont="1" applyFill="1" applyBorder="1" applyAlignment="1">
      <alignment horizontal="center" vertical="center" wrapText="1"/>
    </xf>
    <xf numFmtId="0" fontId="14" fillId="10" borderId="47" xfId="0" applyFont="1" applyFill="1" applyBorder="1" applyAlignment="1">
      <alignment horizontal="center" vertical="center" wrapText="1"/>
    </xf>
    <xf numFmtId="0" fontId="14" fillId="10" borderId="3" xfId="0" applyFont="1" applyFill="1" applyBorder="1" applyAlignment="1">
      <alignment horizontal="center" vertical="center" wrapText="1"/>
    </xf>
    <xf numFmtId="14" fontId="2" fillId="0" borderId="20" xfId="0" quotePrefix="1" applyNumberFormat="1" applyFont="1" applyBorder="1" applyAlignment="1">
      <alignment horizontal="center" vertical="center" wrapText="1"/>
    </xf>
    <xf numFmtId="14" fontId="2" fillId="0" borderId="30" xfId="0" quotePrefix="1" applyNumberFormat="1" applyFont="1" applyBorder="1" applyAlignment="1">
      <alignment horizontal="center" vertical="center" wrapText="1"/>
    </xf>
    <xf numFmtId="14" fontId="2" fillId="0" borderId="4" xfId="0" quotePrefix="1" applyNumberFormat="1" applyFont="1" applyBorder="1" applyAlignment="1">
      <alignment horizontal="center" vertical="center" wrapText="1"/>
    </xf>
    <xf numFmtId="0" fontId="9" fillId="12" borderId="0" xfId="0" applyFont="1" applyFill="1" applyBorder="1" applyAlignment="1">
      <alignment horizontal="center" vertical="center" wrapText="1"/>
    </xf>
    <xf numFmtId="0" fontId="10" fillId="11" borderId="50" xfId="0" applyFont="1" applyFill="1" applyBorder="1" applyAlignment="1">
      <alignment horizontal="center" vertical="center" wrapText="1"/>
    </xf>
    <xf numFmtId="0" fontId="10" fillId="11" borderId="0" xfId="0" applyFont="1" applyFill="1" applyBorder="1" applyAlignment="1">
      <alignment horizontal="center" vertical="center" wrapText="1"/>
    </xf>
    <xf numFmtId="0" fontId="9" fillId="13" borderId="0" xfId="0" applyFont="1" applyFill="1" applyAlignment="1">
      <alignment horizontal="center" vertical="center" wrapText="1"/>
    </xf>
    <xf numFmtId="0" fontId="18" fillId="13" borderId="0" xfId="0" applyFont="1" applyFill="1" applyAlignment="1">
      <alignment horizontal="center" vertical="center" wrapText="1"/>
    </xf>
    <xf numFmtId="0" fontId="37" fillId="6" borderId="2" xfId="0" applyFont="1" applyFill="1" applyBorder="1" applyAlignment="1">
      <alignment horizontal="center" vertical="center" wrapText="1"/>
    </xf>
    <xf numFmtId="0" fontId="37" fillId="6" borderId="47" xfId="0" applyFont="1" applyFill="1" applyBorder="1" applyAlignment="1">
      <alignment horizontal="center" vertical="center" wrapText="1"/>
    </xf>
    <xf numFmtId="0" fontId="37" fillId="25" borderId="47" xfId="0" applyFont="1" applyFill="1" applyBorder="1" applyAlignment="1">
      <alignment horizontal="center" vertical="center" wrapText="1"/>
    </xf>
    <xf numFmtId="0" fontId="38" fillId="6" borderId="2" xfId="0" applyFont="1" applyFill="1" applyBorder="1" applyAlignment="1">
      <alignment horizontal="center" vertical="center" wrapText="1"/>
    </xf>
    <xf numFmtId="0" fontId="38" fillId="6" borderId="47" xfId="0" applyFont="1" applyFill="1" applyBorder="1" applyAlignment="1">
      <alignment horizontal="center" vertical="center" wrapText="1"/>
    </xf>
    <xf numFmtId="0" fontId="38" fillId="6" borderId="3" xfId="0" applyFont="1" applyFill="1" applyBorder="1" applyAlignment="1">
      <alignment horizontal="center" vertical="center" wrapText="1"/>
    </xf>
    <xf numFmtId="0" fontId="3" fillId="6" borderId="1" xfId="0" applyNumberFormat="1" applyFont="1" applyFill="1" applyBorder="1" applyAlignment="1">
      <alignment horizontal="center" vertical="center" wrapText="1"/>
    </xf>
    <xf numFmtId="0" fontId="0" fillId="0" borderId="102" xfId="0" applyBorder="1" applyAlignment="1">
      <alignment horizontal="center" vertical="center"/>
    </xf>
    <xf numFmtId="0" fontId="0" fillId="0" borderId="103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74" xfId="0" applyBorder="1" applyAlignment="1">
      <alignment horizontal="center" vertical="center"/>
    </xf>
    <xf numFmtId="0" fontId="0" fillId="0" borderId="96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26" fillId="23" borderId="103" xfId="0" applyFont="1" applyFill="1" applyBorder="1" applyAlignment="1">
      <alignment horizontal="center" vertical="center"/>
    </xf>
    <xf numFmtId="0" fontId="26" fillId="23" borderId="48" xfId="0" applyFont="1" applyFill="1" applyBorder="1" applyAlignment="1">
      <alignment horizontal="center" vertical="center"/>
    </xf>
    <xf numFmtId="0" fontId="24" fillId="23" borderId="96" xfId="0" applyFont="1" applyFill="1" applyBorder="1" applyAlignment="1">
      <alignment horizontal="center" vertical="center"/>
    </xf>
    <xf numFmtId="0" fontId="24" fillId="0" borderId="2" xfId="0" applyFont="1" applyBorder="1" applyAlignment="1">
      <alignment horizontal="center" vertical="center"/>
    </xf>
    <xf numFmtId="0" fontId="24" fillId="0" borderId="47" xfId="0" applyFont="1" applyBorder="1" applyAlignment="1">
      <alignment horizontal="center" vertical="center"/>
    </xf>
    <xf numFmtId="0" fontId="23" fillId="20" borderId="81" xfId="0" applyFont="1" applyFill="1" applyBorder="1" applyAlignment="1">
      <alignment horizontal="center" vertical="center"/>
    </xf>
    <xf numFmtId="0" fontId="24" fillId="22" borderId="86" xfId="0" applyFont="1" applyFill="1" applyBorder="1" applyAlignment="1">
      <alignment horizontal="center" vertical="center"/>
    </xf>
    <xf numFmtId="0" fontId="24" fillId="22" borderId="87" xfId="0" applyFont="1" applyFill="1" applyBorder="1" applyAlignment="1">
      <alignment horizontal="center" vertical="center"/>
    </xf>
    <xf numFmtId="0" fontId="26" fillId="21" borderId="82" xfId="0" applyFont="1" applyFill="1" applyBorder="1" applyAlignment="1">
      <alignment horizontal="center" vertical="center"/>
    </xf>
    <xf numFmtId="0" fontId="3" fillId="19" borderId="60" xfId="0" applyFont="1" applyFill="1" applyBorder="1" applyAlignment="1">
      <alignment horizontal="center" vertical="center" wrapText="1"/>
    </xf>
    <xf numFmtId="0" fontId="3" fillId="19" borderId="63" xfId="0" applyFont="1" applyFill="1" applyBorder="1" applyAlignment="1">
      <alignment horizontal="center" vertical="center" wrapText="1"/>
    </xf>
    <xf numFmtId="14" fontId="18" fillId="2" borderId="59" xfId="0" applyNumberFormat="1" applyFont="1" applyFill="1" applyBorder="1" applyAlignment="1">
      <alignment horizontal="center" vertical="center" wrapText="1"/>
    </xf>
    <xf numFmtId="14" fontId="18" fillId="2" borderId="46" xfId="0" applyNumberFormat="1" applyFont="1" applyFill="1" applyBorder="1" applyAlignment="1">
      <alignment horizontal="center" vertical="center" wrapText="1"/>
    </xf>
    <xf numFmtId="14" fontId="18" fillId="2" borderId="84" xfId="0" applyNumberFormat="1" applyFont="1" applyFill="1" applyBorder="1" applyAlignment="1">
      <alignment horizontal="center" vertical="center" wrapText="1"/>
    </xf>
    <xf numFmtId="14" fontId="18" fillId="2" borderId="89" xfId="0" applyNumberFormat="1" applyFont="1" applyFill="1" applyBorder="1" applyAlignment="1">
      <alignment horizontal="center" vertical="center" wrapText="1"/>
    </xf>
    <xf numFmtId="14" fontId="18" fillId="2" borderId="90" xfId="0" applyNumberFormat="1" applyFont="1" applyFill="1" applyBorder="1" applyAlignment="1">
      <alignment horizontal="center" vertical="center" wrapText="1"/>
    </xf>
    <xf numFmtId="14" fontId="18" fillId="2" borderId="61" xfId="0" applyNumberFormat="1" applyFont="1" applyFill="1" applyBorder="1" applyAlignment="1">
      <alignment horizontal="center" vertical="center" wrapText="1"/>
    </xf>
    <xf numFmtId="0" fontId="22" fillId="10" borderId="53" xfId="0" applyFont="1" applyFill="1" applyBorder="1" applyAlignment="1">
      <alignment horizontal="left" vertical="center" wrapText="1"/>
    </xf>
    <xf numFmtId="0" fontId="22" fillId="10" borderId="54" xfId="0" applyFont="1" applyFill="1" applyBorder="1" applyAlignment="1">
      <alignment horizontal="left" vertical="center" wrapText="1"/>
    </xf>
    <xf numFmtId="0" fontId="22" fillId="10" borderId="83" xfId="0" applyFont="1" applyFill="1" applyBorder="1" applyAlignment="1">
      <alignment horizontal="left" vertical="center" wrapText="1"/>
    </xf>
    <xf numFmtId="0" fontId="3" fillId="19" borderId="59" xfId="0" applyFont="1" applyFill="1" applyBorder="1" applyAlignment="1">
      <alignment horizontal="center" vertical="center" wrapText="1"/>
    </xf>
    <xf numFmtId="0" fontId="3" fillId="19" borderId="46" xfId="0" applyFont="1" applyFill="1" applyBorder="1" applyAlignment="1">
      <alignment horizontal="center" vertical="center" wrapText="1"/>
    </xf>
    <xf numFmtId="0" fontId="23" fillId="0" borderId="92" xfId="0" applyFont="1" applyBorder="1" applyAlignment="1">
      <alignment horizontal="center" vertical="center"/>
    </xf>
    <xf numFmtId="0" fontId="23" fillId="0" borderId="93" xfId="0" applyFont="1" applyBorder="1" applyAlignment="1">
      <alignment horizontal="center" vertical="center"/>
    </xf>
    <xf numFmtId="0" fontId="23" fillId="0" borderId="73" xfId="0" applyFont="1" applyBorder="1" applyAlignment="1">
      <alignment horizontal="center" vertical="center"/>
    </xf>
    <xf numFmtId="0" fontId="23" fillId="0" borderId="94" xfId="0" applyFont="1" applyBorder="1" applyAlignment="1">
      <alignment horizontal="center" vertical="center"/>
    </xf>
    <xf numFmtId="0" fontId="23" fillId="0" borderId="95" xfId="0" applyFont="1" applyBorder="1" applyAlignment="1">
      <alignment horizontal="center" vertical="center"/>
    </xf>
    <xf numFmtId="0" fontId="23" fillId="0" borderId="72" xfId="0" applyFont="1" applyBorder="1" applyAlignment="1">
      <alignment horizontal="center" vertical="center"/>
    </xf>
    <xf numFmtId="14" fontId="23" fillId="0" borderId="92" xfId="0" applyNumberFormat="1" applyFont="1" applyBorder="1" applyAlignment="1">
      <alignment horizontal="center" vertical="center"/>
    </xf>
    <xf numFmtId="14" fontId="23" fillId="0" borderId="93" xfId="0" applyNumberFormat="1" applyFont="1" applyBorder="1" applyAlignment="1">
      <alignment horizontal="center" vertical="center"/>
    </xf>
    <xf numFmtId="14" fontId="23" fillId="0" borderId="73" xfId="0" applyNumberFormat="1" applyFont="1" applyBorder="1" applyAlignment="1">
      <alignment horizontal="center" vertical="center"/>
    </xf>
    <xf numFmtId="0" fontId="0" fillId="0" borderId="92" xfId="0" applyBorder="1" applyAlignment="1">
      <alignment horizontal="center" vertical="center"/>
    </xf>
    <xf numFmtId="0" fontId="0" fillId="0" borderId="93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6" borderId="56" xfId="0" applyFill="1" applyBorder="1" applyAlignment="1">
      <alignment horizontal="center" vertical="center"/>
    </xf>
    <xf numFmtId="0" fontId="0" fillId="6" borderId="90" xfId="0" applyFill="1" applyBorder="1" applyAlignment="1">
      <alignment horizontal="center" vertical="center"/>
    </xf>
    <xf numFmtId="0" fontId="0" fillId="6" borderId="103" xfId="0" applyFill="1" applyBorder="1" applyAlignment="1">
      <alignment horizontal="center" vertical="center"/>
    </xf>
    <xf numFmtId="0" fontId="0" fillId="6" borderId="91" xfId="0" applyFill="1" applyBorder="1" applyAlignment="1">
      <alignment horizontal="center" vertical="center"/>
    </xf>
    <xf numFmtId="0" fontId="2" fillId="0" borderId="92" xfId="0" applyFont="1" applyBorder="1" applyAlignment="1">
      <alignment horizontal="center" vertical="center" wrapText="1"/>
    </xf>
    <xf numFmtId="0" fontId="2" fillId="0" borderId="93" xfId="0" applyFont="1" applyBorder="1" applyAlignment="1">
      <alignment horizontal="center" vertical="center" wrapText="1"/>
    </xf>
    <xf numFmtId="0" fontId="2" fillId="0" borderId="73" xfId="0" applyFont="1" applyBorder="1" applyAlignment="1">
      <alignment horizontal="center" vertical="center" wrapText="1"/>
    </xf>
    <xf numFmtId="0" fontId="3" fillId="0" borderId="94" xfId="0" applyFont="1" applyBorder="1" applyAlignment="1">
      <alignment horizontal="center" vertical="center" wrapText="1"/>
    </xf>
    <xf numFmtId="0" fontId="3" fillId="0" borderId="95" xfId="0" applyFont="1" applyBorder="1" applyAlignment="1">
      <alignment horizontal="center" vertical="center" wrapText="1"/>
    </xf>
    <xf numFmtId="0" fontId="3" fillId="0" borderId="72" xfId="0" applyFont="1" applyBorder="1" applyAlignment="1">
      <alignment horizontal="center" vertical="center" wrapText="1"/>
    </xf>
    <xf numFmtId="0" fontId="2" fillId="0" borderId="92" xfId="0" applyNumberFormat="1" applyFont="1" applyBorder="1" applyAlignment="1">
      <alignment horizontal="center" vertical="center" wrapText="1"/>
    </xf>
    <xf numFmtId="0" fontId="2" fillId="0" borderId="93" xfId="0" applyNumberFormat="1" applyFont="1" applyBorder="1" applyAlignment="1">
      <alignment horizontal="center" vertical="center" wrapText="1"/>
    </xf>
    <xf numFmtId="0" fontId="2" fillId="0" borderId="73" xfId="0" applyNumberFormat="1" applyFont="1" applyBorder="1" applyAlignment="1">
      <alignment horizontal="center" vertical="center" wrapText="1"/>
    </xf>
    <xf numFmtId="0" fontId="2" fillId="0" borderId="94" xfId="0" applyFont="1" applyBorder="1" applyAlignment="1">
      <alignment horizontal="center" vertical="center" wrapText="1"/>
    </xf>
    <xf numFmtId="0" fontId="2" fillId="0" borderId="95" xfId="0" applyFont="1" applyBorder="1" applyAlignment="1">
      <alignment horizontal="center" vertical="center" wrapText="1"/>
    </xf>
    <xf numFmtId="0" fontId="2" fillId="0" borderId="72" xfId="0" applyFont="1" applyBorder="1" applyAlignment="1">
      <alignment horizontal="center" vertical="center" wrapText="1"/>
    </xf>
    <xf numFmtId="14" fontId="2" fillId="0" borderId="92" xfId="0" applyNumberFormat="1" applyFont="1" applyBorder="1" applyAlignment="1">
      <alignment horizontal="center" vertical="center" wrapText="1"/>
    </xf>
    <xf numFmtId="14" fontId="2" fillId="0" borderId="93" xfId="0" applyNumberFormat="1" applyFont="1" applyBorder="1" applyAlignment="1">
      <alignment horizontal="center" vertical="center" wrapText="1"/>
    </xf>
    <xf numFmtId="14" fontId="2" fillId="0" borderId="73" xfId="0" applyNumberFormat="1" applyFont="1" applyBorder="1" applyAlignment="1">
      <alignment horizontal="center" vertical="center" wrapText="1"/>
    </xf>
    <xf numFmtId="14" fontId="0" fillId="0" borderId="92" xfId="0" applyNumberFormat="1" applyBorder="1" applyAlignment="1">
      <alignment horizontal="center" vertical="center"/>
    </xf>
    <xf numFmtId="0" fontId="23" fillId="6" borderId="2" xfId="0" applyFont="1" applyFill="1" applyBorder="1" applyAlignment="1">
      <alignment horizontal="center"/>
    </xf>
    <xf numFmtId="0" fontId="23" fillId="6" borderId="47" xfId="0" applyFont="1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0" fillId="6" borderId="47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2" fillId="0" borderId="30" xfId="0" applyFont="1" applyBorder="1" applyAlignment="1">
      <alignment horizontal="center" vertical="center" wrapText="1"/>
    </xf>
    <xf numFmtId="0" fontId="9" fillId="10" borderId="1" xfId="0" applyFont="1" applyFill="1" applyBorder="1" applyAlignment="1">
      <alignment horizontal="left" vertical="center" wrapText="1"/>
    </xf>
    <xf numFmtId="14" fontId="2" fillId="0" borderId="20" xfId="0" applyNumberFormat="1" applyFont="1" applyBorder="1" applyAlignment="1">
      <alignment horizontal="center" vertical="center" wrapText="1"/>
    </xf>
    <xf numFmtId="14" fontId="2" fillId="0" borderId="4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6" borderId="2" xfId="0" applyFont="1" applyFill="1" applyBorder="1" applyAlignment="1">
      <alignment horizontal="center" vertical="center" wrapText="1"/>
    </xf>
    <xf numFmtId="0" fontId="2" fillId="6" borderId="47" xfId="0" applyFont="1" applyFill="1" applyBorder="1" applyAlignment="1">
      <alignment horizontal="center" vertical="center" wrapText="1"/>
    </xf>
    <xf numFmtId="0" fontId="2" fillId="6" borderId="3" xfId="0" applyFont="1" applyFill="1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 wrapText="1"/>
    </xf>
    <xf numFmtId="0" fontId="2" fillId="0" borderId="44" xfId="0" applyFont="1" applyBorder="1" applyAlignment="1">
      <alignment horizontal="center" vertical="center" wrapText="1"/>
    </xf>
    <xf numFmtId="0" fontId="2" fillId="0" borderId="45" xfId="0" applyFont="1" applyBorder="1" applyAlignment="1">
      <alignment horizontal="center" vertical="center" wrapText="1"/>
    </xf>
    <xf numFmtId="0" fontId="2" fillId="0" borderId="39" xfId="0" applyFont="1" applyBorder="1" applyAlignment="1">
      <alignment horizontal="center" vertical="center" wrapText="1"/>
    </xf>
    <xf numFmtId="0" fontId="3" fillId="5" borderId="1" xfId="0" applyFont="1" applyFill="1" applyBorder="1" applyAlignment="1">
      <alignment vertical="center" wrapText="1"/>
    </xf>
    <xf numFmtId="0" fontId="4" fillId="5" borderId="2" xfId="0" applyFont="1" applyFill="1" applyBorder="1" applyAlignment="1">
      <alignment horizontal="center" vertical="center" shrinkToFit="1"/>
    </xf>
    <xf numFmtId="0" fontId="4" fillId="5" borderId="3" xfId="0" applyFont="1" applyFill="1" applyBorder="1" applyAlignment="1">
      <alignment horizontal="center" vertical="center" shrinkToFit="1"/>
    </xf>
    <xf numFmtId="0" fontId="5" fillId="5" borderId="1" xfId="0" applyFont="1" applyFill="1" applyBorder="1" applyAlignment="1">
      <alignment vertical="center" wrapText="1"/>
    </xf>
    <xf numFmtId="164" fontId="9" fillId="6" borderId="65" xfId="0" applyNumberFormat="1" applyFont="1" applyFill="1" applyBorder="1" applyAlignment="1">
      <alignment horizontal="center" vertical="center" wrapText="1"/>
    </xf>
    <xf numFmtId="164" fontId="9" fillId="6" borderId="0" xfId="0" applyNumberFormat="1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vertical="center" wrapText="1"/>
    </xf>
    <xf numFmtId="0" fontId="3" fillId="5" borderId="3" xfId="0" applyFont="1" applyFill="1" applyBorder="1" applyAlignment="1">
      <alignment vertical="center" wrapText="1"/>
    </xf>
    <xf numFmtId="0" fontId="2" fillId="0" borderId="23" xfId="0" applyNumberFormat="1" applyFont="1" applyBorder="1" applyAlignment="1">
      <alignment horizontal="center" vertical="center" wrapText="1"/>
    </xf>
    <xf numFmtId="0" fontId="2" fillId="0" borderId="27" xfId="0" applyNumberFormat="1" applyFont="1" applyBorder="1" applyAlignment="1">
      <alignment horizontal="center" vertical="center" wrapText="1"/>
    </xf>
    <xf numFmtId="0" fontId="3" fillId="0" borderId="0" xfId="0" applyFont="1" applyFill="1" applyBorder="1" applyAlignment="1">
      <alignment horizontal="left" vertical="center" wrapText="1"/>
    </xf>
    <xf numFmtId="14" fontId="2" fillId="0" borderId="23" xfId="0" applyNumberFormat="1" applyFont="1" applyBorder="1" applyAlignment="1">
      <alignment horizontal="center" vertical="center" wrapText="1"/>
    </xf>
    <xf numFmtId="14" fontId="2" fillId="0" borderId="30" xfId="0" applyNumberFormat="1" applyFont="1" applyBorder="1" applyAlignment="1">
      <alignment horizontal="center" vertical="center" wrapText="1"/>
    </xf>
    <xf numFmtId="14" fontId="2" fillId="0" borderId="27" xfId="0" applyNumberFormat="1" applyFont="1" applyBorder="1" applyAlignment="1">
      <alignment horizontal="center" vertical="center" wrapText="1"/>
    </xf>
    <xf numFmtId="0" fontId="2" fillId="0" borderId="19" xfId="0" applyNumberFormat="1" applyFont="1" applyBorder="1" applyAlignment="1">
      <alignment horizontal="center" vertical="center" wrapText="1"/>
    </xf>
    <xf numFmtId="0" fontId="2" fillId="0" borderId="36" xfId="0" applyNumberFormat="1" applyFont="1" applyBorder="1" applyAlignment="1">
      <alignment horizontal="center" vertical="center" wrapText="1"/>
    </xf>
    <xf numFmtId="0" fontId="2" fillId="0" borderId="37" xfId="0" applyNumberFormat="1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13" xfId="0" applyFont="1" applyBorder="1" applyAlignment="1">
      <alignment horizontal="center" vertical="center" wrapText="1"/>
    </xf>
    <xf numFmtId="0" fontId="5" fillId="0" borderId="14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 wrapText="1"/>
    </xf>
    <xf numFmtId="0" fontId="3" fillId="3" borderId="11" xfId="0" applyFont="1" applyFill="1" applyBorder="1" applyAlignment="1">
      <alignment horizontal="center" vertical="center" wrapText="1"/>
    </xf>
    <xf numFmtId="0" fontId="3" fillId="3" borderId="17" xfId="0" applyFont="1" applyFill="1" applyBorder="1" applyAlignment="1">
      <alignment horizontal="center" vertical="center" wrapText="1"/>
    </xf>
    <xf numFmtId="0" fontId="3" fillId="3" borderId="12" xfId="0" applyFont="1" applyFill="1" applyBorder="1" applyAlignment="1">
      <alignment horizontal="center" vertical="center" wrapText="1"/>
    </xf>
    <xf numFmtId="0" fontId="16" fillId="12" borderId="2" xfId="0" applyFont="1" applyFill="1" applyBorder="1" applyAlignment="1">
      <alignment horizontal="center" wrapText="1"/>
    </xf>
    <xf numFmtId="0" fontId="16" fillId="12" borderId="47" xfId="0" applyFont="1" applyFill="1" applyBorder="1" applyAlignment="1">
      <alignment horizontal="center" wrapText="1"/>
    </xf>
    <xf numFmtId="0" fontId="16" fillId="12" borderId="3" xfId="0" applyFont="1" applyFill="1" applyBorder="1" applyAlignment="1">
      <alignment horizontal="center" wrapText="1"/>
    </xf>
    <xf numFmtId="0" fontId="66" fillId="0" borderId="2" xfId="0" applyFont="1" applyBorder="1" applyAlignment="1">
      <alignment horizontal="center"/>
    </xf>
    <xf numFmtId="0" fontId="66" fillId="0" borderId="47" xfId="0" applyFont="1" applyBorder="1" applyAlignment="1">
      <alignment horizontal="center"/>
    </xf>
    <xf numFmtId="0" fontId="66" fillId="0" borderId="3" xfId="0" applyFont="1" applyBorder="1" applyAlignment="1">
      <alignment horizontal="center"/>
    </xf>
    <xf numFmtId="0" fontId="53" fillId="2" borderId="2" xfId="0" applyFont="1" applyFill="1" applyBorder="1" applyAlignment="1">
      <alignment horizontal="right" vertical="center" wrapText="1"/>
    </xf>
    <xf numFmtId="0" fontId="53" fillId="2" borderId="47" xfId="0" applyFont="1" applyFill="1" applyBorder="1" applyAlignment="1">
      <alignment horizontal="right" vertical="center" wrapText="1"/>
    </xf>
    <xf numFmtId="0" fontId="53" fillId="2" borderId="3" xfId="0" applyFont="1" applyFill="1" applyBorder="1" applyAlignment="1">
      <alignment horizontal="right" vertical="center" wrapText="1"/>
    </xf>
    <xf numFmtId="0" fontId="16" fillId="6" borderId="2" xfId="0" applyFont="1" applyFill="1" applyBorder="1" applyAlignment="1">
      <alignment horizontal="center" vertical="center" wrapText="1"/>
    </xf>
    <xf numFmtId="0" fontId="16" fillId="6" borderId="47" xfId="0" applyFont="1" applyFill="1" applyBorder="1" applyAlignment="1">
      <alignment horizontal="center" vertical="center" wrapText="1"/>
    </xf>
    <xf numFmtId="0" fontId="16" fillId="6" borderId="3" xfId="0" applyFont="1" applyFill="1" applyBorder="1" applyAlignment="1">
      <alignment horizontal="center" vertical="center" wrapText="1"/>
    </xf>
    <xf numFmtId="14" fontId="16" fillId="9" borderId="59" xfId="0" applyNumberFormat="1" applyFont="1" applyFill="1" applyBorder="1" applyAlignment="1">
      <alignment horizontal="center" vertical="center" wrapText="1"/>
    </xf>
    <xf numFmtId="14" fontId="16" fillId="9" borderId="46" xfId="0" applyNumberFormat="1" applyFont="1" applyFill="1" applyBorder="1" applyAlignment="1">
      <alignment horizontal="center" vertical="center" wrapText="1"/>
    </xf>
    <xf numFmtId="14" fontId="16" fillId="9" borderId="56" xfId="0" applyNumberFormat="1" applyFont="1" applyFill="1" applyBorder="1" applyAlignment="1">
      <alignment horizontal="center" vertical="center" wrapText="1"/>
    </xf>
  </cellXfs>
  <cellStyles count="3">
    <cellStyle name="Moeda" xfId="2" builtinId="4"/>
    <cellStyle name="Normal" xfId="0" builtinId="0"/>
    <cellStyle name="Vírgula" xfId="1" builtinId="3"/>
  </cellStyles>
  <dxfs count="0"/>
  <tableStyles count="0" defaultTableStyle="TableStyleMedium2" defaultPivotStyle="PivotStyleLight16"/>
  <colors>
    <mruColors>
      <color rgb="FF99CCFF"/>
      <color rgb="FFFFCCFF"/>
      <color rgb="FFFF66CC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85725</xdr:colOff>
      <xdr:row>16</xdr:row>
      <xdr:rowOff>266700</xdr:rowOff>
    </xdr:from>
    <xdr:to>
      <xdr:col>8</xdr:col>
      <xdr:colOff>847725</xdr:colOff>
      <xdr:row>17</xdr:row>
      <xdr:rowOff>104775</xdr:rowOff>
    </xdr:to>
    <xdr:cxnSp macro="">
      <xdr:nvCxnSpPr>
        <xdr:cNvPr id="3" name="Conector de seta reta 2"/>
        <xdr:cNvCxnSpPr/>
      </xdr:nvCxnSpPr>
      <xdr:spPr>
        <a:xfrm flipH="1">
          <a:off x="11391900" y="6391275"/>
          <a:ext cx="762000" cy="219075"/>
        </a:xfrm>
        <a:prstGeom prst="straightConnector1">
          <a:avLst/>
        </a:prstGeom>
        <a:ln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1657350</xdr:colOff>
      <xdr:row>18</xdr:row>
      <xdr:rowOff>304800</xdr:rowOff>
    </xdr:from>
    <xdr:to>
      <xdr:col>6</xdr:col>
      <xdr:colOff>180975</xdr:colOff>
      <xdr:row>19</xdr:row>
      <xdr:rowOff>190500</xdr:rowOff>
    </xdr:to>
    <xdr:cxnSp macro="">
      <xdr:nvCxnSpPr>
        <xdr:cNvPr id="4" name="Conector de seta reta 3"/>
        <xdr:cNvCxnSpPr/>
      </xdr:nvCxnSpPr>
      <xdr:spPr>
        <a:xfrm>
          <a:off x="5943600" y="7191375"/>
          <a:ext cx="2743200" cy="266700"/>
        </a:xfrm>
        <a:prstGeom prst="straightConnector1">
          <a:avLst/>
        </a:prstGeom>
        <a:ln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L404"/>
  <sheetViews>
    <sheetView tabSelected="1" workbookViewId="0">
      <selection activeCell="I214" sqref="I214"/>
    </sheetView>
  </sheetViews>
  <sheetFormatPr defaultColWidth="15.140625" defaultRowHeight="20.100000000000001" customHeight="1" x14ac:dyDescent="0.25"/>
  <cols>
    <col min="1" max="1" width="13.28515625" style="6" customWidth="1"/>
    <col min="2" max="2" width="15.7109375" style="6" customWidth="1"/>
    <col min="3" max="3" width="12.28515625" style="14" customWidth="1"/>
    <col min="4" max="4" width="16.85546875" style="14" customWidth="1"/>
    <col min="5" max="5" width="31.42578125" style="4" customWidth="1"/>
    <col min="6" max="6" width="32.140625" style="4" customWidth="1"/>
    <col min="7" max="7" width="20.42578125" style="2" customWidth="1"/>
    <col min="8" max="8" width="17.140625" style="3" customWidth="1"/>
    <col min="9" max="9" width="32.5703125" style="87" customWidth="1"/>
    <col min="10" max="10" width="18.7109375" style="1" customWidth="1"/>
    <col min="11" max="11" width="14.28515625" style="1" customWidth="1"/>
    <col min="12" max="12" width="7" style="1" customWidth="1"/>
    <col min="13" max="16384" width="15.140625" style="1"/>
  </cols>
  <sheetData>
    <row r="1" spans="1:9" s="453" customFormat="1" ht="33" customHeight="1" x14ac:dyDescent="0.25">
      <c r="A1" s="629" t="s">
        <v>360</v>
      </c>
      <c r="B1" s="630"/>
      <c r="C1" s="630"/>
      <c r="D1" s="630"/>
      <c r="E1" s="631"/>
      <c r="F1" s="454"/>
      <c r="G1" s="454"/>
      <c r="H1" s="454"/>
      <c r="I1" s="458"/>
    </row>
    <row r="2" spans="1:9" ht="24" customHeight="1" x14ac:dyDescent="0.25">
      <c r="A2" s="667" t="s">
        <v>361</v>
      </c>
      <c r="B2" s="668"/>
      <c r="C2" s="668"/>
      <c r="D2" s="473" t="s">
        <v>2</v>
      </c>
      <c r="E2" s="474" t="s">
        <v>362</v>
      </c>
      <c r="F2" s="448"/>
      <c r="G2" s="448"/>
      <c r="H2" s="448"/>
      <c r="I2" s="20"/>
    </row>
    <row r="3" spans="1:9" ht="20.100000000000001" customHeight="1" x14ac:dyDescent="0.25">
      <c r="A3" s="613" t="s">
        <v>359</v>
      </c>
      <c r="B3" s="614"/>
      <c r="C3" s="614"/>
      <c r="D3" s="480">
        <f>H45</f>
        <v>427.79999999999995</v>
      </c>
      <c r="E3" s="459">
        <f>H30</f>
        <v>42396</v>
      </c>
      <c r="F3" s="448"/>
      <c r="G3" s="448"/>
      <c r="H3" s="448"/>
      <c r="I3" s="20"/>
    </row>
    <row r="4" spans="1:9" ht="29.25" customHeight="1" x14ac:dyDescent="0.25">
      <c r="A4" s="655" t="s">
        <v>364</v>
      </c>
      <c r="B4" s="656"/>
      <c r="C4" s="657"/>
      <c r="D4" s="481">
        <f>H74</f>
        <v>76</v>
      </c>
      <c r="E4" s="461">
        <f>H48</f>
        <v>42396</v>
      </c>
      <c r="F4" s="448"/>
      <c r="G4" s="448"/>
      <c r="H4" s="448"/>
      <c r="I4" s="20"/>
    </row>
    <row r="5" spans="1:9" ht="20.100000000000001" customHeight="1" x14ac:dyDescent="0.25">
      <c r="A5" s="655" t="s">
        <v>366</v>
      </c>
      <c r="B5" s="656"/>
      <c r="C5" s="657"/>
      <c r="D5" s="481">
        <f>H101</f>
        <v>589.5</v>
      </c>
      <c r="E5" s="461">
        <f>H76</f>
        <v>42348</v>
      </c>
      <c r="F5" s="448"/>
      <c r="G5" s="448"/>
      <c r="H5" s="448"/>
      <c r="I5" s="20"/>
    </row>
    <row r="6" spans="1:9" ht="20.100000000000001" customHeight="1" x14ac:dyDescent="0.25">
      <c r="A6" s="655" t="s">
        <v>478</v>
      </c>
      <c r="B6" s="656"/>
      <c r="C6" s="657"/>
      <c r="D6" s="481">
        <f>H109</f>
        <v>517</v>
      </c>
      <c r="E6" s="461">
        <v>42348</v>
      </c>
      <c r="F6" s="448"/>
      <c r="G6" s="448"/>
      <c r="H6" s="448"/>
      <c r="I6" s="20"/>
    </row>
    <row r="7" spans="1:9" ht="20.100000000000001" customHeight="1" x14ac:dyDescent="0.25">
      <c r="A7" s="655" t="s">
        <v>148</v>
      </c>
      <c r="B7" s="656"/>
      <c r="C7" s="657"/>
      <c r="D7" s="481">
        <f>H124</f>
        <v>2770</v>
      </c>
      <c r="E7" s="461">
        <f>H112</f>
        <v>42348</v>
      </c>
      <c r="F7" s="448"/>
      <c r="G7" s="448"/>
      <c r="H7" s="448"/>
      <c r="I7" s="20"/>
    </row>
    <row r="8" spans="1:9" ht="27.75" customHeight="1" x14ac:dyDescent="0.25">
      <c r="A8" s="664" t="s">
        <v>190</v>
      </c>
      <c r="B8" s="665"/>
      <c r="C8" s="666"/>
      <c r="D8" s="533">
        <f>H137</f>
        <v>1495</v>
      </c>
      <c r="E8" s="461">
        <v>42352</v>
      </c>
      <c r="F8" s="448"/>
      <c r="G8" s="448"/>
      <c r="H8" s="448"/>
      <c r="I8" s="20"/>
    </row>
    <row r="9" spans="1:9" ht="20.100000000000001" customHeight="1" x14ac:dyDescent="0.25">
      <c r="A9" s="664" t="s">
        <v>368</v>
      </c>
      <c r="B9" s="665"/>
      <c r="C9" s="666"/>
      <c r="D9" s="481">
        <f>H150</f>
        <v>0</v>
      </c>
      <c r="E9" s="461">
        <v>0</v>
      </c>
      <c r="F9" s="448"/>
      <c r="G9" s="448"/>
      <c r="H9" s="448"/>
      <c r="I9" s="20"/>
    </row>
    <row r="10" spans="1:9" ht="20.100000000000001" customHeight="1" x14ac:dyDescent="0.25">
      <c r="A10" s="664" t="s">
        <v>370</v>
      </c>
      <c r="B10" s="665"/>
      <c r="C10" s="666"/>
      <c r="D10" s="481">
        <f>H178</f>
        <v>462</v>
      </c>
      <c r="E10" s="461">
        <f>H152</f>
        <v>42342</v>
      </c>
      <c r="F10" s="448"/>
      <c r="G10" s="448"/>
      <c r="H10" s="448"/>
      <c r="I10" s="20"/>
    </row>
    <row r="11" spans="1:9" ht="20.100000000000001" customHeight="1" x14ac:dyDescent="0.25">
      <c r="A11" s="613" t="s">
        <v>363</v>
      </c>
      <c r="B11" s="614"/>
      <c r="C11" s="614"/>
      <c r="D11" s="480">
        <f>H203</f>
        <v>0</v>
      </c>
      <c r="E11" s="459">
        <f>H196</f>
        <v>42342</v>
      </c>
      <c r="F11" s="448"/>
      <c r="G11" s="448"/>
      <c r="H11" s="448"/>
      <c r="I11" s="20"/>
    </row>
    <row r="12" spans="1:9" ht="20.100000000000001" customHeight="1" x14ac:dyDescent="0.25">
      <c r="A12" s="615" t="s">
        <v>375</v>
      </c>
      <c r="B12" s="616"/>
      <c r="C12" s="616"/>
      <c r="D12" s="496">
        <f>'DESCONTÃO 2015'!H83</f>
        <v>1320</v>
      </c>
      <c r="E12" s="497">
        <f>'DESCONTÃO 2015'!H66</f>
        <v>42347</v>
      </c>
      <c r="F12" s="621"/>
      <c r="G12" s="622"/>
      <c r="H12" s="611"/>
      <c r="I12" s="612"/>
    </row>
    <row r="13" spans="1:9" ht="20.100000000000001" customHeight="1" x14ac:dyDescent="0.25">
      <c r="A13" s="613" t="s">
        <v>377</v>
      </c>
      <c r="B13" s="614"/>
      <c r="C13" s="614"/>
      <c r="D13" s="481">
        <f>'MAX CALÇADOS'!H70</f>
        <v>1035.0200000000004</v>
      </c>
      <c r="E13" s="461">
        <f>'MAX CALÇADOS'!H2</f>
        <v>42396</v>
      </c>
      <c r="F13" s="448"/>
      <c r="G13" s="448"/>
      <c r="H13" s="448"/>
      <c r="I13" s="20"/>
    </row>
    <row r="14" spans="1:9" ht="20.100000000000001" customHeight="1" x14ac:dyDescent="0.25">
      <c r="A14" s="613" t="s">
        <v>379</v>
      </c>
      <c r="B14" s="614"/>
      <c r="C14" s="614"/>
      <c r="D14" s="481">
        <f>'DELÍRIOS CONFECÇÕES'!H59</f>
        <v>0</v>
      </c>
      <c r="E14" s="461">
        <f>'DELÍRIOS CONFECÇÕES'!K52</f>
        <v>42194</v>
      </c>
      <c r="F14" s="448"/>
      <c r="G14" s="448"/>
      <c r="H14" s="448"/>
      <c r="I14" s="20"/>
    </row>
    <row r="15" spans="1:9" ht="31.5" customHeight="1" x14ac:dyDescent="0.25">
      <c r="A15" s="615" t="s">
        <v>382</v>
      </c>
      <c r="B15" s="616"/>
      <c r="C15" s="616"/>
      <c r="D15" s="496">
        <f>MAKROPEL!J36</f>
        <v>4184.87</v>
      </c>
      <c r="E15" s="497">
        <f>MAKROPEL!H2</f>
        <v>42138</v>
      </c>
      <c r="F15" s="619"/>
      <c r="G15" s="620"/>
      <c r="H15" s="617"/>
      <c r="I15" s="618"/>
    </row>
    <row r="16" spans="1:9" ht="31.5" customHeight="1" x14ac:dyDescent="0.25">
      <c r="A16" s="658" t="s">
        <v>483</v>
      </c>
      <c r="B16" s="659"/>
      <c r="C16" s="660"/>
      <c r="D16" s="496">
        <f>H220</f>
        <v>150.65000000000003</v>
      </c>
      <c r="E16" s="497">
        <f>H210</f>
        <v>42396</v>
      </c>
      <c r="F16" s="541"/>
      <c r="G16" s="541"/>
      <c r="H16" s="542"/>
      <c r="I16" s="543"/>
    </row>
    <row r="17" spans="1:9" ht="20.100000000000001" customHeight="1" x14ac:dyDescent="0.25">
      <c r="A17" s="613" t="s">
        <v>384</v>
      </c>
      <c r="B17" s="614"/>
      <c r="C17" s="614"/>
      <c r="D17" s="481">
        <f>'CASA VITÓRIA'!H37</f>
        <v>1252.4899999999998</v>
      </c>
      <c r="E17" s="461">
        <f>'CASA VITÓRIA'!I32</f>
        <v>42353</v>
      </c>
      <c r="F17" s="448"/>
      <c r="G17" s="448"/>
      <c r="H17" s="448"/>
      <c r="I17" s="20"/>
    </row>
    <row r="18" spans="1:9" ht="20.100000000000001" customHeight="1" x14ac:dyDescent="0.25">
      <c r="A18" s="664" t="s">
        <v>493</v>
      </c>
      <c r="B18" s="665"/>
      <c r="C18" s="666"/>
      <c r="D18" s="481">
        <f>H235</f>
        <v>1195.0400000000002</v>
      </c>
      <c r="E18" s="461">
        <f>H224</f>
        <v>42396</v>
      </c>
      <c r="F18" s="448"/>
      <c r="G18" s="448"/>
      <c r="H18" s="448"/>
      <c r="I18" s="20"/>
    </row>
    <row r="19" spans="1:9" ht="20.100000000000001" customHeight="1" x14ac:dyDescent="0.25">
      <c r="A19" s="664" t="s">
        <v>500</v>
      </c>
      <c r="B19" s="665"/>
      <c r="C19" s="666"/>
      <c r="D19" s="481">
        <f>H249</f>
        <v>3999.99</v>
      </c>
      <c r="E19" s="461">
        <f>H243</f>
        <v>42368</v>
      </c>
      <c r="F19" s="448"/>
      <c r="G19" s="448"/>
      <c r="H19" s="448"/>
      <c r="I19" s="20"/>
    </row>
    <row r="20" spans="1:9" ht="20.100000000000001" customHeight="1" x14ac:dyDescent="0.25">
      <c r="A20" s="664" t="s">
        <v>498</v>
      </c>
      <c r="B20" s="665"/>
      <c r="C20" s="666"/>
      <c r="D20" s="481">
        <f>H257</f>
        <v>1720</v>
      </c>
      <c r="E20" s="461">
        <f>H251</f>
        <v>42396</v>
      </c>
      <c r="F20" s="448"/>
      <c r="G20" s="448"/>
      <c r="H20" s="448"/>
      <c r="I20" s="20"/>
    </row>
    <row r="21" spans="1:9" ht="20.100000000000001" customHeight="1" x14ac:dyDescent="0.25">
      <c r="A21" s="664" t="s">
        <v>512</v>
      </c>
      <c r="B21" s="665"/>
      <c r="C21" s="666"/>
      <c r="D21" s="481">
        <f>H268</f>
        <v>0</v>
      </c>
      <c r="E21" s="461">
        <f>H252</f>
        <v>2100</v>
      </c>
      <c r="F21" s="448"/>
      <c r="G21" s="448"/>
      <c r="H21" s="448"/>
      <c r="I21" s="20"/>
    </row>
    <row r="22" spans="1:9" ht="20.100000000000001" hidden="1" customHeight="1" x14ac:dyDescent="0.25">
      <c r="A22" s="661"/>
      <c r="B22" s="662"/>
      <c r="C22" s="663"/>
      <c r="D22" s="481"/>
      <c r="E22" s="461"/>
      <c r="F22" s="448"/>
      <c r="G22" s="448"/>
      <c r="H22" s="448"/>
      <c r="I22" s="20"/>
    </row>
    <row r="23" spans="1:9" ht="20.100000000000001" hidden="1" customHeight="1" x14ac:dyDescent="0.25">
      <c r="A23" s="661"/>
      <c r="B23" s="662"/>
      <c r="C23" s="663"/>
      <c r="D23" s="481"/>
      <c r="E23" s="461"/>
      <c r="F23" s="448"/>
      <c r="G23" s="448"/>
      <c r="H23" s="448"/>
      <c r="I23" s="20"/>
    </row>
    <row r="24" spans="1:9" ht="20.100000000000001" customHeight="1" x14ac:dyDescent="0.25">
      <c r="A24" s="669" t="s">
        <v>388</v>
      </c>
      <c r="B24" s="670"/>
      <c r="C24" s="670"/>
      <c r="D24" s="500">
        <f>SUM(D3:D21)</f>
        <v>21195.360000000001</v>
      </c>
      <c r="E24" s="461"/>
      <c r="F24" s="499"/>
      <c r="G24" s="499"/>
      <c r="H24" s="448"/>
      <c r="I24" s="20"/>
    </row>
    <row r="25" spans="1:9" ht="20.100000000000001" customHeight="1" x14ac:dyDescent="0.25">
      <c r="A25" s="613"/>
      <c r="B25" s="614"/>
      <c r="C25" s="614"/>
      <c r="D25" s="481"/>
      <c r="E25" s="461"/>
      <c r="F25" s="448"/>
      <c r="G25" s="448"/>
      <c r="H25" s="448"/>
      <c r="I25" s="20"/>
    </row>
    <row r="26" spans="1:9" ht="20.100000000000001" customHeight="1" thickBot="1" x14ac:dyDescent="0.3">
      <c r="A26" s="626" t="s">
        <v>387</v>
      </c>
      <c r="B26" s="627"/>
      <c r="C26" s="627"/>
      <c r="D26" s="628"/>
      <c r="E26" s="498">
        <v>42396</v>
      </c>
      <c r="F26" s="448"/>
      <c r="G26" s="448"/>
      <c r="H26" s="448"/>
      <c r="I26" s="20"/>
    </row>
    <row r="27" spans="1:9" ht="33" customHeight="1" x14ac:dyDescent="0.25">
      <c r="A27" s="455"/>
      <c r="B27" s="455"/>
      <c r="C27" s="455"/>
      <c r="D27" s="456"/>
      <c r="E27" s="457"/>
      <c r="F27" s="448"/>
      <c r="G27" s="448"/>
      <c r="H27" s="448"/>
      <c r="I27" s="20"/>
    </row>
    <row r="28" spans="1:9" ht="33" customHeight="1" x14ac:dyDescent="0.25">
      <c r="A28" s="638" t="s">
        <v>108</v>
      </c>
      <c r="B28" s="639"/>
      <c r="C28" s="639"/>
      <c r="D28" s="639"/>
      <c r="E28" s="639"/>
      <c r="F28" s="639"/>
      <c r="G28" s="639"/>
      <c r="H28" s="640"/>
      <c r="I28" s="20"/>
    </row>
    <row r="29" spans="1:9" ht="20.100000000000001" customHeight="1" thickBot="1" x14ac:dyDescent="0.3">
      <c r="A29" s="12"/>
      <c r="B29" s="338"/>
      <c r="C29" s="339"/>
      <c r="D29" s="339"/>
      <c r="E29" s="12"/>
      <c r="F29" s="12"/>
      <c r="G29" s="18"/>
      <c r="H29" s="12"/>
      <c r="I29" s="20"/>
    </row>
    <row r="30" spans="1:9" ht="20.100000000000001" customHeight="1" thickBot="1" x14ac:dyDescent="0.3">
      <c r="A30" s="1"/>
      <c r="C30" s="15"/>
      <c r="D30" s="15"/>
      <c r="E30" s="1"/>
      <c r="F30" s="641" t="s">
        <v>128</v>
      </c>
      <c r="G30" s="642"/>
      <c r="H30" s="445">
        <v>42396</v>
      </c>
      <c r="I30" s="20"/>
    </row>
    <row r="31" spans="1:9" ht="30" customHeight="1" x14ac:dyDescent="0.25">
      <c r="A31" s="646" t="s">
        <v>340</v>
      </c>
      <c r="B31" s="646"/>
      <c r="C31" s="646"/>
      <c r="D31" s="646"/>
      <c r="E31" s="646"/>
      <c r="F31" s="647"/>
      <c r="G31" s="443" t="s">
        <v>126</v>
      </c>
      <c r="H31" s="444">
        <v>802.25</v>
      </c>
      <c r="I31" s="20"/>
    </row>
    <row r="32" spans="1:9" ht="20.100000000000001" customHeight="1" x14ac:dyDescent="0.25">
      <c r="A32" s="9" t="s">
        <v>3</v>
      </c>
      <c r="B32" s="9" t="s">
        <v>1</v>
      </c>
      <c r="C32" s="13" t="s">
        <v>6</v>
      </c>
      <c r="D32" s="13"/>
      <c r="E32" s="5" t="s">
        <v>61</v>
      </c>
      <c r="F32" s="5" t="s">
        <v>60</v>
      </c>
      <c r="G32" s="16" t="s">
        <v>2</v>
      </c>
      <c r="H32" s="109">
        <f>H31</f>
        <v>802.25</v>
      </c>
      <c r="I32" s="20"/>
    </row>
    <row r="33" spans="1:9" ht="20.100000000000001" customHeight="1" x14ac:dyDescent="0.25">
      <c r="A33" s="648" t="s">
        <v>125</v>
      </c>
      <c r="B33" s="649"/>
      <c r="C33" s="649"/>
      <c r="D33" s="649"/>
      <c r="E33" s="649"/>
      <c r="F33" s="650"/>
      <c r="G33" s="158">
        <v>509.1</v>
      </c>
      <c r="H33" s="110">
        <f t="shared" ref="H33" si="0">H32-G33</f>
        <v>293.14999999999998</v>
      </c>
      <c r="I33" s="20"/>
    </row>
    <row r="34" spans="1:9" ht="20.100000000000001" customHeight="1" x14ac:dyDescent="0.25">
      <c r="A34" s="651" t="s">
        <v>127</v>
      </c>
      <c r="B34" s="651"/>
      <c r="C34" s="651"/>
      <c r="D34" s="651"/>
      <c r="E34" s="651"/>
      <c r="F34" s="651"/>
      <c r="G34" s="167"/>
      <c r="H34" s="168">
        <f>H33+1004.75</f>
        <v>1297.9000000000001</v>
      </c>
      <c r="I34" s="215" t="s">
        <v>145</v>
      </c>
    </row>
    <row r="35" spans="1:9" ht="20.100000000000001" customHeight="1" x14ac:dyDescent="0.25">
      <c r="A35" s="126" t="s">
        <v>90</v>
      </c>
      <c r="B35" s="239">
        <v>41964</v>
      </c>
      <c r="C35" s="10">
        <v>474</v>
      </c>
      <c r="D35" s="10" t="s">
        <v>132</v>
      </c>
      <c r="E35" s="290" t="s">
        <v>131</v>
      </c>
      <c r="F35" s="313" t="s">
        <v>133</v>
      </c>
      <c r="G35" s="416">
        <v>50</v>
      </c>
      <c r="H35" s="110">
        <f>H34-G35</f>
        <v>1247.9000000000001</v>
      </c>
      <c r="I35" s="86"/>
    </row>
    <row r="36" spans="1:9" ht="20.100000000000001" customHeight="1" x14ac:dyDescent="0.25">
      <c r="A36" s="126" t="s">
        <v>90</v>
      </c>
      <c r="B36" s="239">
        <v>41983</v>
      </c>
      <c r="C36" s="10">
        <v>828</v>
      </c>
      <c r="D36" s="10" t="s">
        <v>132</v>
      </c>
      <c r="E36" s="290" t="s">
        <v>116</v>
      </c>
      <c r="F36" s="313" t="s">
        <v>133</v>
      </c>
      <c r="G36" s="416">
        <v>150</v>
      </c>
      <c r="H36" s="110">
        <f>H35-G36</f>
        <v>1097.9000000000001</v>
      </c>
      <c r="I36" s="419"/>
    </row>
    <row r="37" spans="1:9" ht="20.100000000000001" customHeight="1" x14ac:dyDescent="0.25">
      <c r="A37" s="126" t="s">
        <v>0</v>
      </c>
      <c r="B37" s="239">
        <v>42069</v>
      </c>
      <c r="C37" s="10">
        <v>834</v>
      </c>
      <c r="D37" s="10" t="s">
        <v>132</v>
      </c>
      <c r="E37" s="290" t="s">
        <v>203</v>
      </c>
      <c r="F37" s="313" t="s">
        <v>133</v>
      </c>
      <c r="G37" s="392">
        <v>226.4</v>
      </c>
      <c r="H37" s="110">
        <f t="shared" ref="H37:H45" si="1">H36-G37</f>
        <v>871.50000000000011</v>
      </c>
      <c r="I37" s="20"/>
    </row>
    <row r="38" spans="1:9" ht="20.100000000000001" customHeight="1" x14ac:dyDescent="0.25">
      <c r="A38" s="126" t="s">
        <v>196</v>
      </c>
      <c r="B38" s="239">
        <v>42117</v>
      </c>
      <c r="C38" s="10">
        <v>839</v>
      </c>
      <c r="D38" s="10" t="s">
        <v>132</v>
      </c>
      <c r="E38" s="290" t="s">
        <v>159</v>
      </c>
      <c r="F38" s="313" t="s">
        <v>133</v>
      </c>
      <c r="G38" s="417"/>
      <c r="H38" s="110">
        <f t="shared" si="1"/>
        <v>871.50000000000011</v>
      </c>
      <c r="I38" s="20"/>
    </row>
    <row r="39" spans="1:9" ht="20.100000000000001" customHeight="1" x14ac:dyDescent="0.25">
      <c r="A39" s="126" t="s">
        <v>196</v>
      </c>
      <c r="B39" s="239">
        <v>42118</v>
      </c>
      <c r="C39" s="10">
        <v>840</v>
      </c>
      <c r="D39" s="10" t="s">
        <v>132</v>
      </c>
      <c r="E39" s="290" t="s">
        <v>296</v>
      </c>
      <c r="F39" s="313" t="s">
        <v>133</v>
      </c>
      <c r="G39" s="417"/>
      <c r="H39" s="110">
        <f t="shared" si="1"/>
        <v>871.50000000000011</v>
      </c>
      <c r="I39" s="20"/>
    </row>
    <row r="40" spans="1:9" ht="20.100000000000001" customHeight="1" x14ac:dyDescent="0.25">
      <c r="A40" s="77" t="s">
        <v>196</v>
      </c>
      <c r="B40" s="239">
        <v>42143</v>
      </c>
      <c r="C40" s="10">
        <v>845</v>
      </c>
      <c r="D40" s="10" t="s">
        <v>132</v>
      </c>
      <c r="E40" s="290" t="s">
        <v>136</v>
      </c>
      <c r="F40" s="313" t="s">
        <v>133</v>
      </c>
      <c r="G40" s="392"/>
      <c r="H40" s="110">
        <f t="shared" si="1"/>
        <v>871.50000000000011</v>
      </c>
      <c r="I40" s="20"/>
    </row>
    <row r="41" spans="1:9" ht="39.75" customHeight="1" x14ac:dyDescent="0.25">
      <c r="A41" s="643" t="s">
        <v>343</v>
      </c>
      <c r="B41" s="644"/>
      <c r="C41" s="644"/>
      <c r="D41" s="644"/>
      <c r="E41" s="644"/>
      <c r="F41" s="645"/>
      <c r="G41" s="392"/>
      <c r="H41" s="418">
        <v>808</v>
      </c>
      <c r="I41" s="415" t="s">
        <v>342</v>
      </c>
    </row>
    <row r="42" spans="1:9" ht="24.95" customHeight="1" x14ac:dyDescent="0.25">
      <c r="A42" s="77" t="s">
        <v>196</v>
      </c>
      <c r="B42" s="239">
        <v>42205</v>
      </c>
      <c r="C42" s="10">
        <v>850</v>
      </c>
      <c r="D42" s="10" t="s">
        <v>132</v>
      </c>
      <c r="E42" s="356" t="s">
        <v>393</v>
      </c>
      <c r="F42" s="356" t="s">
        <v>394</v>
      </c>
      <c r="G42" s="392"/>
      <c r="H42" s="110">
        <f t="shared" si="1"/>
        <v>808</v>
      </c>
      <c r="I42" s="20"/>
    </row>
    <row r="43" spans="1:9" ht="24.95" customHeight="1" x14ac:dyDescent="0.25">
      <c r="A43" s="77" t="s">
        <v>196</v>
      </c>
      <c r="B43" s="239">
        <v>42206</v>
      </c>
      <c r="C43" s="10">
        <v>1176</v>
      </c>
      <c r="D43" s="10" t="s">
        <v>132</v>
      </c>
      <c r="E43" s="356" t="s">
        <v>207</v>
      </c>
      <c r="F43" s="356" t="s">
        <v>133</v>
      </c>
      <c r="G43" s="392"/>
      <c r="H43" s="110">
        <f t="shared" si="1"/>
        <v>808</v>
      </c>
      <c r="I43" s="20"/>
    </row>
    <row r="44" spans="1:9" ht="24.95" customHeight="1" x14ac:dyDescent="0.25">
      <c r="A44" s="77"/>
      <c r="B44" s="239">
        <v>42356</v>
      </c>
      <c r="C44" s="127"/>
      <c r="D44" s="10" t="s">
        <v>132</v>
      </c>
      <c r="E44" s="414" t="s">
        <v>488</v>
      </c>
      <c r="F44" s="414" t="s">
        <v>489</v>
      </c>
      <c r="G44" s="392">
        <v>261.2</v>
      </c>
      <c r="H44" s="110">
        <f t="shared" si="1"/>
        <v>546.79999999999995</v>
      </c>
      <c r="I44" s="86"/>
    </row>
    <row r="45" spans="1:9" ht="24.95" customHeight="1" x14ac:dyDescent="0.25">
      <c r="A45" s="77" t="s">
        <v>196</v>
      </c>
      <c r="B45" s="239">
        <v>42415</v>
      </c>
      <c r="C45" s="127"/>
      <c r="D45" s="10" t="s">
        <v>132</v>
      </c>
      <c r="E45" s="414" t="s">
        <v>328</v>
      </c>
      <c r="F45" s="414" t="s">
        <v>133</v>
      </c>
      <c r="G45" s="392">
        <v>119</v>
      </c>
      <c r="H45" s="110">
        <f t="shared" si="1"/>
        <v>427.79999999999995</v>
      </c>
      <c r="I45" s="452"/>
    </row>
    <row r="46" spans="1:9" ht="20.100000000000001" customHeight="1" thickBot="1" x14ac:dyDescent="0.3">
      <c r="A46" s="140"/>
      <c r="B46" s="260"/>
      <c r="C46" s="141"/>
      <c r="D46" s="141"/>
      <c r="E46" s="140"/>
      <c r="F46" s="140"/>
      <c r="G46" s="142"/>
      <c r="H46" s="140"/>
      <c r="I46" s="20" t="s">
        <v>143</v>
      </c>
    </row>
    <row r="47" spans="1:9" ht="20.100000000000001" customHeight="1" thickTop="1" x14ac:dyDescent="0.25"/>
    <row r="48" spans="1:9" ht="20.100000000000001" customHeight="1" x14ac:dyDescent="0.25">
      <c r="A48" s="1"/>
      <c r="C48" s="15"/>
      <c r="D48" s="15"/>
      <c r="E48" s="1"/>
      <c r="F48" s="1"/>
      <c r="G48" s="136" t="s">
        <v>106</v>
      </c>
      <c r="H48" s="137">
        <v>42396</v>
      </c>
      <c r="I48" s="20"/>
    </row>
    <row r="49" spans="1:12" ht="28.5" customHeight="1" x14ac:dyDescent="0.25">
      <c r="A49" s="609" t="s">
        <v>365</v>
      </c>
      <c r="B49" s="610"/>
      <c r="C49" s="610"/>
      <c r="D49" s="610"/>
      <c r="E49" s="706" t="s">
        <v>110</v>
      </c>
      <c r="F49" s="707"/>
      <c r="G49" s="129"/>
      <c r="H49" s="112">
        <f>940+45</f>
        <v>985</v>
      </c>
      <c r="I49" s="20"/>
    </row>
    <row r="50" spans="1:12" ht="25.5" customHeight="1" x14ac:dyDescent="0.25">
      <c r="A50" s="9" t="s">
        <v>3</v>
      </c>
      <c r="B50" s="9" t="s">
        <v>1</v>
      </c>
      <c r="C50" s="13" t="s">
        <v>6</v>
      </c>
      <c r="D50" s="13" t="s">
        <v>107</v>
      </c>
      <c r="E50" s="5" t="s">
        <v>5</v>
      </c>
      <c r="F50" s="5" t="s">
        <v>60</v>
      </c>
      <c r="G50" s="16" t="s">
        <v>2</v>
      </c>
      <c r="H50" s="109">
        <f>H49</f>
        <v>985</v>
      </c>
      <c r="I50" s="215" t="s">
        <v>145</v>
      </c>
    </row>
    <row r="51" spans="1:12" ht="21.95" customHeight="1" x14ac:dyDescent="0.25">
      <c r="A51" s="152" t="s">
        <v>0</v>
      </c>
      <c r="B51" s="244">
        <v>41954</v>
      </c>
      <c r="C51" s="10">
        <v>606</v>
      </c>
      <c r="D51" s="10">
        <v>5</v>
      </c>
      <c r="E51" s="152" t="s">
        <v>112</v>
      </c>
      <c r="F51" s="152" t="s">
        <v>114</v>
      </c>
      <c r="G51" s="385">
        <v>80</v>
      </c>
      <c r="H51" s="110">
        <f>H50-G51</f>
        <v>905</v>
      </c>
      <c r="I51" s="20"/>
    </row>
    <row r="52" spans="1:12" ht="21.95" customHeight="1" x14ac:dyDescent="0.25">
      <c r="A52" s="152" t="s">
        <v>0</v>
      </c>
      <c r="B52" s="244">
        <v>41954</v>
      </c>
      <c r="C52" s="10">
        <v>607</v>
      </c>
      <c r="D52" s="10">
        <v>5</v>
      </c>
      <c r="E52" s="152" t="s">
        <v>116</v>
      </c>
      <c r="F52" s="152" t="s">
        <v>115</v>
      </c>
      <c r="G52" s="385">
        <v>120</v>
      </c>
      <c r="H52" s="110">
        <f t="shared" ref="H52" si="2">H51-G52</f>
        <v>785</v>
      </c>
      <c r="I52" s="20"/>
    </row>
    <row r="53" spans="1:12" ht="29.25" customHeight="1" x14ac:dyDescent="0.25">
      <c r="A53" s="152" t="s">
        <v>0</v>
      </c>
      <c r="B53" s="244">
        <v>42042</v>
      </c>
      <c r="C53" s="10">
        <v>609</v>
      </c>
      <c r="D53" s="10" t="s">
        <v>173</v>
      </c>
      <c r="E53" s="152" t="s">
        <v>174</v>
      </c>
      <c r="F53" s="152"/>
      <c r="G53" s="130">
        <v>1080</v>
      </c>
      <c r="H53" s="329">
        <f>H52-G53</f>
        <v>-295</v>
      </c>
      <c r="I53" s="20"/>
    </row>
    <row r="54" spans="1:12" ht="21.95" customHeight="1" x14ac:dyDescent="0.25">
      <c r="A54" s="716" t="s">
        <v>308</v>
      </c>
      <c r="B54" s="717"/>
      <c r="C54" s="717"/>
      <c r="D54" s="717"/>
      <c r="E54" s="717"/>
      <c r="F54" s="717"/>
      <c r="G54" s="381"/>
      <c r="H54" s="384">
        <v>1334</v>
      </c>
      <c r="I54" s="20"/>
      <c r="J54" s="625" t="s">
        <v>311</v>
      </c>
      <c r="K54" s="625"/>
    </row>
    <row r="55" spans="1:12" ht="21.95" customHeight="1" x14ac:dyDescent="0.25">
      <c r="E55" s="718" t="s">
        <v>120</v>
      </c>
      <c r="F55" s="718"/>
      <c r="G55" s="382"/>
      <c r="H55" s="383">
        <v>295</v>
      </c>
      <c r="I55" s="20"/>
      <c r="J55" s="388" t="s">
        <v>309</v>
      </c>
      <c r="K55" s="390">
        <v>25</v>
      </c>
    </row>
    <row r="56" spans="1:12" ht="21.95" customHeight="1" x14ac:dyDescent="0.25">
      <c r="A56" s="652" t="s">
        <v>325</v>
      </c>
      <c r="B56" s="653"/>
      <c r="C56" s="653"/>
      <c r="D56" s="653"/>
      <c r="E56" s="653"/>
      <c r="F56" s="653"/>
      <c r="G56" s="654"/>
      <c r="H56" s="396">
        <f>H54-H55</f>
        <v>1039</v>
      </c>
      <c r="I56" s="20"/>
      <c r="J56" s="389" t="s">
        <v>310</v>
      </c>
      <c r="K56" s="390">
        <v>20</v>
      </c>
    </row>
    <row r="57" spans="1:12" ht="21.95" customHeight="1" x14ac:dyDescent="0.25">
      <c r="A57" s="393" t="s">
        <v>0</v>
      </c>
      <c r="B57" s="239">
        <v>42150</v>
      </c>
      <c r="C57" s="10">
        <v>610</v>
      </c>
      <c r="D57" s="10">
        <v>5</v>
      </c>
      <c r="E57" s="393" t="s">
        <v>312</v>
      </c>
      <c r="F57" s="60" t="s">
        <v>313</v>
      </c>
      <c r="G57" s="395">
        <v>25</v>
      </c>
      <c r="H57" s="110">
        <f>H56-G57</f>
        <v>1014</v>
      </c>
      <c r="I57" s="20"/>
      <c r="J57" s="20"/>
      <c r="K57" s="391"/>
      <c r="L57" s="20"/>
    </row>
    <row r="58" spans="1:12" ht="21.95" customHeight="1" x14ac:dyDescent="0.25">
      <c r="A58" s="393" t="s">
        <v>314</v>
      </c>
      <c r="B58" s="239">
        <v>42150</v>
      </c>
      <c r="C58" s="10">
        <v>613</v>
      </c>
      <c r="D58" s="10">
        <v>5</v>
      </c>
      <c r="E58" s="393" t="s">
        <v>139</v>
      </c>
      <c r="F58" s="60" t="s">
        <v>315</v>
      </c>
      <c r="G58" s="394">
        <v>100</v>
      </c>
      <c r="H58" s="110">
        <f t="shared" ref="H58:H60" si="3">H57-G58</f>
        <v>914</v>
      </c>
      <c r="I58" s="20"/>
      <c r="K58" s="2"/>
    </row>
    <row r="59" spans="1:12" ht="21.95" customHeight="1" x14ac:dyDescent="0.25">
      <c r="A59" s="393" t="s">
        <v>196</v>
      </c>
      <c r="B59" s="239">
        <v>42151</v>
      </c>
      <c r="C59" s="10">
        <v>614</v>
      </c>
      <c r="D59" s="10">
        <v>4</v>
      </c>
      <c r="E59" s="393" t="s">
        <v>316</v>
      </c>
      <c r="F59" s="393" t="s">
        <v>317</v>
      </c>
      <c r="G59" s="394">
        <v>50</v>
      </c>
      <c r="H59" s="110">
        <f t="shared" si="3"/>
        <v>864</v>
      </c>
      <c r="I59" s="20"/>
      <c r="K59" s="2"/>
    </row>
    <row r="60" spans="1:12" ht="21.95" customHeight="1" x14ac:dyDescent="0.25">
      <c r="A60" s="393" t="s">
        <v>0</v>
      </c>
      <c r="B60" s="239">
        <v>42157</v>
      </c>
      <c r="C60" s="10"/>
      <c r="D60" s="10"/>
      <c r="E60" s="393" t="s">
        <v>322</v>
      </c>
      <c r="F60" s="60" t="s">
        <v>323</v>
      </c>
      <c r="G60" s="394">
        <f>80+80</f>
        <v>160</v>
      </c>
      <c r="H60" s="110">
        <f t="shared" si="3"/>
        <v>704</v>
      </c>
      <c r="I60" s="623" t="s">
        <v>324</v>
      </c>
      <c r="J60" s="624"/>
    </row>
    <row r="61" spans="1:12" ht="38.25" customHeight="1" x14ac:dyDescent="0.25">
      <c r="A61" s="370" t="s">
        <v>196</v>
      </c>
      <c r="B61" s="239">
        <v>42170</v>
      </c>
      <c r="C61" s="10">
        <v>616</v>
      </c>
      <c r="D61" s="10" t="s">
        <v>328</v>
      </c>
      <c r="E61" s="387" t="s">
        <v>329</v>
      </c>
      <c r="F61" s="387" t="s">
        <v>349</v>
      </c>
      <c r="G61" s="392">
        <v>400</v>
      </c>
      <c r="H61" s="110">
        <f>H60-G61</f>
        <v>304</v>
      </c>
      <c r="I61" s="623"/>
      <c r="J61" s="624"/>
    </row>
    <row r="62" spans="1:12" ht="21.95" customHeight="1" x14ac:dyDescent="0.25">
      <c r="A62" s="502" t="s">
        <v>196</v>
      </c>
      <c r="B62" s="239">
        <v>42209</v>
      </c>
      <c r="C62" s="10">
        <v>617</v>
      </c>
      <c r="D62" s="10" t="s">
        <v>206</v>
      </c>
      <c r="E62" s="387" t="s">
        <v>329</v>
      </c>
      <c r="F62" s="387" t="s">
        <v>315</v>
      </c>
      <c r="G62" s="392">
        <v>100</v>
      </c>
      <c r="H62" s="110">
        <f t="shared" ref="H62:H74" si="4">H61-G62</f>
        <v>204</v>
      </c>
      <c r="I62" s="20"/>
    </row>
    <row r="63" spans="1:12" ht="21.95" customHeight="1" x14ac:dyDescent="0.25">
      <c r="A63" s="503" t="s">
        <v>196</v>
      </c>
      <c r="B63" s="239">
        <v>42222</v>
      </c>
      <c r="C63" s="10">
        <v>618</v>
      </c>
      <c r="D63" s="10" t="s">
        <v>209</v>
      </c>
      <c r="E63" s="393" t="s">
        <v>329</v>
      </c>
      <c r="F63" s="393" t="s">
        <v>404</v>
      </c>
      <c r="G63" s="392">
        <v>50</v>
      </c>
      <c r="H63" s="110">
        <v>406</v>
      </c>
      <c r="I63" s="20"/>
    </row>
    <row r="64" spans="1:12" ht="21.95" customHeight="1" x14ac:dyDescent="0.25">
      <c r="A64" s="683" t="s">
        <v>470</v>
      </c>
      <c r="B64" s="684"/>
      <c r="C64" s="684"/>
      <c r="D64" s="684"/>
      <c r="E64" s="684"/>
      <c r="F64" s="684"/>
      <c r="G64" s="685"/>
      <c r="H64" s="110">
        <f t="shared" si="4"/>
        <v>406</v>
      </c>
      <c r="I64" s="623" t="s">
        <v>471</v>
      </c>
    </row>
    <row r="65" spans="1:9" ht="21.95" customHeight="1" x14ac:dyDescent="0.25">
      <c r="A65" s="77" t="s">
        <v>196</v>
      </c>
      <c r="B65" s="239">
        <v>42389</v>
      </c>
      <c r="C65" s="78"/>
      <c r="D65" s="78"/>
      <c r="E65" s="528" t="s">
        <v>187</v>
      </c>
      <c r="F65" s="528" t="s">
        <v>313</v>
      </c>
      <c r="G65" s="392">
        <v>30</v>
      </c>
      <c r="H65" s="110">
        <f t="shared" si="4"/>
        <v>376</v>
      </c>
      <c r="I65" s="623"/>
    </row>
    <row r="66" spans="1:9" ht="21.95" customHeight="1" x14ac:dyDescent="0.25">
      <c r="A66" s="77" t="s">
        <v>196</v>
      </c>
      <c r="B66" s="239">
        <v>42373</v>
      </c>
      <c r="C66" s="78">
        <v>625</v>
      </c>
      <c r="D66" s="78"/>
      <c r="E66" s="528" t="s">
        <v>187</v>
      </c>
      <c r="F66" s="528" t="s">
        <v>315</v>
      </c>
      <c r="G66" s="392">
        <v>100</v>
      </c>
      <c r="H66" s="110">
        <f t="shared" si="4"/>
        <v>276</v>
      </c>
      <c r="I66" s="20"/>
    </row>
    <row r="67" spans="1:9" ht="21.95" customHeight="1" x14ac:dyDescent="0.25">
      <c r="A67" s="77" t="s">
        <v>196</v>
      </c>
      <c r="B67" s="239">
        <v>42373</v>
      </c>
      <c r="C67" s="78">
        <v>1551</v>
      </c>
      <c r="D67" s="78"/>
      <c r="E67" s="528" t="s">
        <v>208</v>
      </c>
      <c r="F67" s="601" t="s">
        <v>315</v>
      </c>
      <c r="G67" s="392">
        <v>100</v>
      </c>
      <c r="H67" s="110">
        <f t="shared" si="4"/>
        <v>176</v>
      </c>
      <c r="I67" s="20"/>
    </row>
    <row r="68" spans="1:9" ht="21.95" customHeight="1" x14ac:dyDescent="0.25">
      <c r="A68" s="77" t="s">
        <v>196</v>
      </c>
      <c r="B68" s="239">
        <v>42373</v>
      </c>
      <c r="C68" s="78">
        <v>1552</v>
      </c>
      <c r="D68" s="78"/>
      <c r="E68" s="528" t="s">
        <v>207</v>
      </c>
      <c r="F68" s="601" t="s">
        <v>315</v>
      </c>
      <c r="G68" s="392">
        <v>100</v>
      </c>
      <c r="H68" s="110">
        <f t="shared" si="4"/>
        <v>76</v>
      </c>
      <c r="I68" s="20"/>
    </row>
    <row r="69" spans="1:9" ht="21.95" customHeight="1" x14ac:dyDescent="0.25">
      <c r="A69" s="77"/>
      <c r="B69" s="239"/>
      <c r="C69" s="78"/>
      <c r="D69" s="78"/>
      <c r="E69" s="528"/>
      <c r="F69" s="528"/>
      <c r="G69" s="392"/>
      <c r="H69" s="110">
        <f t="shared" si="4"/>
        <v>76</v>
      </c>
      <c r="I69" s="20"/>
    </row>
    <row r="70" spans="1:9" ht="21.95" customHeight="1" x14ac:dyDescent="0.25">
      <c r="A70" s="77"/>
      <c r="B70" s="239"/>
      <c r="C70" s="78"/>
      <c r="D70" s="78"/>
      <c r="E70" s="528"/>
      <c r="F70" s="528"/>
      <c r="G70" s="392"/>
      <c r="H70" s="110">
        <f t="shared" si="4"/>
        <v>76</v>
      </c>
      <c r="I70" s="20"/>
    </row>
    <row r="71" spans="1:9" ht="21.95" customHeight="1" x14ac:dyDescent="0.25">
      <c r="A71" s="77"/>
      <c r="B71" s="239"/>
      <c r="C71" s="78"/>
      <c r="D71" s="78"/>
      <c r="E71" s="528"/>
      <c r="F71" s="528"/>
      <c r="G71" s="392"/>
      <c r="H71" s="110">
        <f t="shared" si="4"/>
        <v>76</v>
      </c>
      <c r="I71" s="20"/>
    </row>
    <row r="72" spans="1:9" ht="21.95" customHeight="1" x14ac:dyDescent="0.25">
      <c r="A72" s="77"/>
      <c r="B72" s="239"/>
      <c r="C72" s="78"/>
      <c r="D72" s="78"/>
      <c r="E72" s="528"/>
      <c r="F72" s="528"/>
      <c r="G72" s="392"/>
      <c r="H72" s="110">
        <f t="shared" si="4"/>
        <v>76</v>
      </c>
      <c r="I72" s="20"/>
    </row>
    <row r="73" spans="1:9" ht="21.95" customHeight="1" x14ac:dyDescent="0.25">
      <c r="A73" s="77"/>
      <c r="B73" s="239"/>
      <c r="C73" s="78"/>
      <c r="D73" s="78"/>
      <c r="E73" s="528"/>
      <c r="F73" s="528"/>
      <c r="G73" s="392"/>
      <c r="H73" s="110">
        <f t="shared" si="4"/>
        <v>76</v>
      </c>
      <c r="I73" s="20"/>
    </row>
    <row r="74" spans="1:9" ht="21.95" customHeight="1" x14ac:dyDescent="0.25">
      <c r="A74" s="77"/>
      <c r="B74" s="239"/>
      <c r="C74" s="78"/>
      <c r="D74" s="78"/>
      <c r="E74" s="393"/>
      <c r="F74" s="393"/>
      <c r="G74" s="392"/>
      <c r="H74" s="110">
        <f t="shared" si="4"/>
        <v>76</v>
      </c>
      <c r="I74" s="20"/>
    </row>
    <row r="75" spans="1:9" ht="21.95" customHeight="1" x14ac:dyDescent="0.25">
      <c r="A75" s="1"/>
      <c r="C75" s="15"/>
      <c r="D75" s="15"/>
      <c r="E75" s="1"/>
      <c r="F75" s="1"/>
      <c r="H75" s="1"/>
      <c r="I75" s="20"/>
    </row>
    <row r="76" spans="1:9" ht="21.95" customHeight="1" x14ac:dyDescent="0.25">
      <c r="A76" s="1"/>
      <c r="C76" s="15"/>
      <c r="D76" s="15"/>
      <c r="E76" s="1"/>
      <c r="F76" s="1"/>
      <c r="G76" s="136" t="s">
        <v>106</v>
      </c>
      <c r="H76" s="137">
        <v>42348</v>
      </c>
      <c r="I76" s="20"/>
    </row>
    <row r="77" spans="1:9" ht="31.5" customHeight="1" x14ac:dyDescent="0.25">
      <c r="A77" s="632" t="s">
        <v>146</v>
      </c>
      <c r="B77" s="633"/>
      <c r="C77" s="633"/>
      <c r="D77" s="633"/>
      <c r="E77" s="633"/>
      <c r="F77" s="634"/>
      <c r="G77" s="129"/>
      <c r="H77" s="347">
        <f>230+1300</f>
        <v>1530</v>
      </c>
      <c r="I77" s="20"/>
    </row>
    <row r="78" spans="1:9" ht="27" customHeight="1" x14ac:dyDescent="0.25">
      <c r="A78" s="9" t="s">
        <v>3</v>
      </c>
      <c r="B78" s="9" t="s">
        <v>1</v>
      </c>
      <c r="C78" s="13" t="s">
        <v>6</v>
      </c>
      <c r="D78" s="13" t="s">
        <v>107</v>
      </c>
      <c r="E78" s="5" t="s">
        <v>5</v>
      </c>
      <c r="F78" s="5" t="s">
        <v>60</v>
      </c>
      <c r="G78" s="16" t="s">
        <v>2</v>
      </c>
      <c r="H78" s="348">
        <f>H77</f>
        <v>1530</v>
      </c>
      <c r="I78" s="215" t="s">
        <v>145</v>
      </c>
    </row>
    <row r="79" spans="1:9" ht="20.100000000000001" customHeight="1" x14ac:dyDescent="0.25">
      <c r="A79" s="214"/>
      <c r="B79" s="244"/>
      <c r="C79" s="10"/>
      <c r="D79" s="10"/>
      <c r="E79" s="214" t="s">
        <v>281</v>
      </c>
      <c r="F79" s="214"/>
      <c r="G79" s="155">
        <v>690</v>
      </c>
      <c r="H79" s="346">
        <f>H78-G79</f>
        <v>840</v>
      </c>
      <c r="I79" s="20"/>
    </row>
    <row r="80" spans="1:9" ht="20.100000000000001" customHeight="1" x14ac:dyDescent="0.25">
      <c r="A80" s="336">
        <v>42079</v>
      </c>
      <c r="B80" s="244"/>
      <c r="C80" s="10"/>
      <c r="D80" s="10"/>
      <c r="E80" s="214"/>
      <c r="F80" s="214"/>
      <c r="G80" s="155">
        <v>160</v>
      </c>
      <c r="H80" s="337">
        <f t="shared" ref="H80" si="5">H79-G80</f>
        <v>680</v>
      </c>
      <c r="I80" s="623" t="s">
        <v>282</v>
      </c>
    </row>
    <row r="81" spans="1:9" ht="30" customHeight="1" x14ac:dyDescent="0.25">
      <c r="A81" s="214"/>
      <c r="B81" s="244"/>
      <c r="C81" s="10"/>
      <c r="D81" s="10"/>
      <c r="E81" s="239">
        <v>42123</v>
      </c>
      <c r="F81" s="214" t="s">
        <v>285</v>
      </c>
      <c r="G81" s="130">
        <v>200</v>
      </c>
      <c r="H81" s="350">
        <f>H80-G81</f>
        <v>480</v>
      </c>
      <c r="I81" s="623"/>
    </row>
    <row r="82" spans="1:9" ht="20.100000000000001" customHeight="1" x14ac:dyDescent="0.25">
      <c r="A82" s="214"/>
      <c r="B82" s="244"/>
      <c r="C82" s="10"/>
      <c r="D82" s="10"/>
      <c r="E82" s="214"/>
      <c r="F82" s="214"/>
      <c r="G82" s="130"/>
      <c r="H82" s="346">
        <f>H81-G82</f>
        <v>480</v>
      </c>
      <c r="I82" s="20"/>
    </row>
    <row r="83" spans="1:9" ht="20.100000000000001" customHeight="1" x14ac:dyDescent="0.25">
      <c r="A83" s="214"/>
      <c r="B83" s="635" t="s">
        <v>346</v>
      </c>
      <c r="C83" s="636"/>
      <c r="D83" s="636"/>
      <c r="E83" s="636"/>
      <c r="F83" s="636"/>
      <c r="G83" s="637"/>
      <c r="H83" s="346">
        <v>1565</v>
      </c>
      <c r="I83" s="608" t="s">
        <v>350</v>
      </c>
    </row>
    <row r="84" spans="1:9" ht="20.100000000000001" customHeight="1" x14ac:dyDescent="0.25">
      <c r="A84" s="336">
        <v>42223</v>
      </c>
      <c r="B84" s="244"/>
      <c r="C84" s="10"/>
      <c r="D84" s="10"/>
      <c r="E84" s="214" t="s">
        <v>405</v>
      </c>
      <c r="F84" s="77" t="s">
        <v>406</v>
      </c>
      <c r="G84" s="130">
        <v>80</v>
      </c>
      <c r="H84" s="346">
        <f t="shared" ref="H84" si="6">H83-G84</f>
        <v>1485</v>
      </c>
      <c r="I84" s="608"/>
    </row>
    <row r="85" spans="1:9" ht="20.100000000000001" customHeight="1" x14ac:dyDescent="0.25">
      <c r="A85" s="239">
        <v>42233</v>
      </c>
      <c r="B85" s="244"/>
      <c r="C85" s="10"/>
      <c r="D85" s="10"/>
      <c r="E85" s="450"/>
      <c r="F85" s="77" t="s">
        <v>420</v>
      </c>
      <c r="G85" s="130">
        <v>80</v>
      </c>
      <c r="H85" s="346">
        <f>H84-G85</f>
        <v>1405</v>
      </c>
      <c r="I85" s="451"/>
    </row>
    <row r="86" spans="1:9" ht="20.100000000000001" customHeight="1" x14ac:dyDescent="0.25">
      <c r="A86" s="239">
        <v>42264</v>
      </c>
      <c r="B86" s="244"/>
      <c r="C86" s="10"/>
      <c r="D86" s="10"/>
      <c r="E86" s="450" t="s">
        <v>430</v>
      </c>
      <c r="F86" s="77" t="s">
        <v>431</v>
      </c>
      <c r="G86" s="130">
        <v>80</v>
      </c>
      <c r="H86" s="346">
        <f t="shared" ref="H86" si="7">H85-G86</f>
        <v>1325</v>
      </c>
      <c r="I86" s="451"/>
    </row>
    <row r="87" spans="1:9" ht="20.100000000000001" customHeight="1" x14ac:dyDescent="0.25">
      <c r="A87" s="398"/>
      <c r="B87" s="244"/>
      <c r="C87" s="10"/>
      <c r="D87" s="10"/>
      <c r="E87" s="398" t="s">
        <v>437</v>
      </c>
      <c r="F87" s="398" t="s">
        <v>438</v>
      </c>
      <c r="G87" s="130">
        <v>120</v>
      </c>
      <c r="H87" s="346">
        <f>H86-G87</f>
        <v>1205</v>
      </c>
      <c r="I87" s="20"/>
    </row>
    <row r="88" spans="1:9" ht="20.100000000000001" customHeight="1" x14ac:dyDescent="0.25">
      <c r="A88" s="510"/>
      <c r="B88" s="244"/>
      <c r="C88" s="10"/>
      <c r="D88" s="10"/>
      <c r="E88" s="510"/>
      <c r="F88" s="510"/>
      <c r="G88" s="130">
        <v>160</v>
      </c>
      <c r="H88" s="346">
        <f>H87-G88</f>
        <v>1045</v>
      </c>
      <c r="I88" s="20"/>
    </row>
    <row r="89" spans="1:9" ht="20.100000000000001" customHeight="1" x14ac:dyDescent="0.25">
      <c r="A89" s="510"/>
      <c r="B89" s="244"/>
      <c r="C89" s="10"/>
      <c r="D89" s="10"/>
      <c r="E89" s="510"/>
      <c r="F89" s="510"/>
      <c r="G89" s="130">
        <v>100</v>
      </c>
      <c r="H89" s="346">
        <f>H88-G89</f>
        <v>945</v>
      </c>
      <c r="I89" s="20"/>
    </row>
    <row r="90" spans="1:9" ht="20.100000000000001" customHeight="1" x14ac:dyDescent="0.25">
      <c r="A90" s="510"/>
      <c r="B90" s="244"/>
      <c r="C90" s="10"/>
      <c r="D90" s="10"/>
      <c r="E90" s="510"/>
      <c r="F90" s="510"/>
      <c r="G90" s="130">
        <v>240</v>
      </c>
      <c r="H90" s="346">
        <f>H89-G90</f>
        <v>705</v>
      </c>
      <c r="I90" s="20" t="s">
        <v>445</v>
      </c>
    </row>
    <row r="91" spans="1:9" ht="20.100000000000001" customHeight="1" x14ac:dyDescent="0.25">
      <c r="A91" s="683" t="s">
        <v>468</v>
      </c>
      <c r="B91" s="684"/>
      <c r="C91" s="684"/>
      <c r="D91" s="684"/>
      <c r="E91" s="684"/>
      <c r="F91" s="684"/>
      <c r="G91" s="685"/>
      <c r="H91" s="346">
        <v>1445</v>
      </c>
      <c r="I91" s="623" t="s">
        <v>469</v>
      </c>
    </row>
    <row r="92" spans="1:9" ht="20.100000000000001" customHeight="1" x14ac:dyDescent="0.25">
      <c r="A92" s="239">
        <v>42356</v>
      </c>
      <c r="B92" s="244"/>
      <c r="C92" s="10"/>
      <c r="D92" s="10"/>
      <c r="E92" s="528" t="s">
        <v>484</v>
      </c>
      <c r="F92" s="528"/>
      <c r="G92" s="130">
        <v>80</v>
      </c>
      <c r="H92" s="346">
        <f t="shared" ref="H92:H100" si="8">H91-G92</f>
        <v>1365</v>
      </c>
      <c r="I92" s="623"/>
    </row>
    <row r="93" spans="1:9" ht="20.100000000000001" customHeight="1" x14ac:dyDescent="0.25">
      <c r="A93" s="239">
        <v>42356</v>
      </c>
      <c r="B93" s="244"/>
      <c r="C93" s="10"/>
      <c r="D93" s="10"/>
      <c r="E93" s="528" t="s">
        <v>485</v>
      </c>
      <c r="F93" s="528"/>
      <c r="G93" s="130">
        <v>50</v>
      </c>
      <c r="H93" s="346">
        <f t="shared" si="8"/>
        <v>1315</v>
      </c>
      <c r="I93" s="20"/>
    </row>
    <row r="94" spans="1:9" ht="20.100000000000001" customHeight="1" x14ac:dyDescent="0.25">
      <c r="A94" s="239">
        <v>42422</v>
      </c>
      <c r="B94" s="244"/>
      <c r="C94" s="10"/>
      <c r="D94" s="10"/>
      <c r="E94" s="528" t="s">
        <v>538</v>
      </c>
      <c r="F94" s="528"/>
      <c r="G94" s="130">
        <v>250</v>
      </c>
      <c r="H94" s="346">
        <f t="shared" si="8"/>
        <v>1065</v>
      </c>
      <c r="I94" s="20"/>
    </row>
    <row r="95" spans="1:9" ht="20.100000000000001" customHeight="1" x14ac:dyDescent="0.25">
      <c r="A95" s="239">
        <v>42422</v>
      </c>
      <c r="B95" s="244"/>
      <c r="C95" s="10"/>
      <c r="D95" s="10"/>
      <c r="E95" s="528" t="s">
        <v>539</v>
      </c>
      <c r="F95" s="528"/>
      <c r="G95" s="130">
        <v>315.5</v>
      </c>
      <c r="H95" s="346">
        <f t="shared" si="8"/>
        <v>749.5</v>
      </c>
      <c r="I95" s="20"/>
    </row>
    <row r="96" spans="1:9" ht="20.100000000000001" customHeight="1" x14ac:dyDescent="0.25">
      <c r="A96" s="336">
        <v>42387</v>
      </c>
      <c r="B96" s="244"/>
      <c r="C96" s="10"/>
      <c r="D96" s="10"/>
      <c r="E96" s="528" t="s">
        <v>543</v>
      </c>
      <c r="F96" s="528"/>
      <c r="G96" s="130">
        <v>80</v>
      </c>
      <c r="H96" s="346">
        <f t="shared" si="8"/>
        <v>669.5</v>
      </c>
      <c r="I96" s="20"/>
    </row>
    <row r="97" spans="1:9" ht="20.100000000000001" customHeight="1" x14ac:dyDescent="0.25">
      <c r="A97" s="239">
        <v>42422</v>
      </c>
      <c r="B97" s="244"/>
      <c r="C97" s="10"/>
      <c r="D97" s="10"/>
      <c r="E97" s="528" t="s">
        <v>544</v>
      </c>
      <c r="F97" s="528"/>
      <c r="G97" s="130">
        <v>80</v>
      </c>
      <c r="H97" s="346">
        <f t="shared" si="8"/>
        <v>589.5</v>
      </c>
      <c r="I97" s="20"/>
    </row>
    <row r="98" spans="1:9" ht="20.100000000000001" customHeight="1" x14ac:dyDescent="0.25">
      <c r="A98" s="528"/>
      <c r="B98" s="244"/>
      <c r="C98" s="10"/>
      <c r="D98" s="10"/>
      <c r="E98" s="528"/>
      <c r="F98" s="528"/>
      <c r="G98" s="130"/>
      <c r="H98" s="346">
        <f t="shared" si="8"/>
        <v>589.5</v>
      </c>
      <c r="I98" s="20"/>
    </row>
    <row r="99" spans="1:9" ht="20.100000000000001" customHeight="1" x14ac:dyDescent="0.25">
      <c r="A99" s="528"/>
      <c r="B99" s="244"/>
      <c r="C99" s="10"/>
      <c r="D99" s="10"/>
      <c r="E99" s="528"/>
      <c r="F99" s="528"/>
      <c r="G99" s="130"/>
      <c r="H99" s="346">
        <f t="shared" si="8"/>
        <v>589.5</v>
      </c>
      <c r="I99" s="20"/>
    </row>
    <row r="100" spans="1:9" ht="20.100000000000001" customHeight="1" x14ac:dyDescent="0.25">
      <c r="A100" s="528"/>
      <c r="B100" s="244"/>
      <c r="C100" s="10"/>
      <c r="D100" s="10"/>
      <c r="E100" s="528"/>
      <c r="F100" s="528"/>
      <c r="G100" s="130"/>
      <c r="H100" s="346">
        <f t="shared" si="8"/>
        <v>589.5</v>
      </c>
      <c r="I100" s="20"/>
    </row>
    <row r="101" spans="1:9" ht="20.100000000000001" customHeight="1" x14ac:dyDescent="0.25">
      <c r="A101" s="398"/>
      <c r="B101" s="244"/>
      <c r="C101" s="10"/>
      <c r="D101" s="10"/>
      <c r="E101" s="398"/>
      <c r="F101" s="398"/>
      <c r="G101" s="130"/>
      <c r="H101" s="346">
        <f>H100-G101</f>
        <v>589.5</v>
      </c>
      <c r="I101" s="1"/>
    </row>
    <row r="102" spans="1:9" ht="20.100000000000001" customHeight="1" x14ac:dyDescent="0.25">
      <c r="A102" s="1"/>
      <c r="C102" s="15"/>
      <c r="D102" s="15"/>
      <c r="E102" s="1"/>
      <c r="F102" s="1"/>
      <c r="H102" s="349"/>
      <c r="I102" s="20"/>
    </row>
    <row r="103" spans="1:9" ht="20.100000000000001" customHeight="1" x14ac:dyDescent="0.25">
      <c r="A103" s="1"/>
      <c r="C103" s="15"/>
      <c r="D103" s="15"/>
      <c r="E103" s="1"/>
      <c r="F103" s="1"/>
      <c r="H103" s="1"/>
      <c r="I103" s="20"/>
    </row>
    <row r="104" spans="1:9" ht="20.100000000000001" customHeight="1" x14ac:dyDescent="0.25">
      <c r="A104" s="1"/>
      <c r="C104" s="15"/>
      <c r="D104" s="15"/>
      <c r="E104" s="1"/>
      <c r="F104" s="1"/>
      <c r="G104" s="136" t="s">
        <v>106</v>
      </c>
      <c r="H104" s="137">
        <v>42353</v>
      </c>
      <c r="I104" s="20"/>
    </row>
    <row r="105" spans="1:9" ht="20.100000000000001" customHeight="1" x14ac:dyDescent="0.25">
      <c r="A105" s="632" t="s">
        <v>472</v>
      </c>
      <c r="B105" s="633"/>
      <c r="C105" s="633"/>
      <c r="D105" s="633"/>
      <c r="E105" s="633"/>
      <c r="F105" s="634"/>
      <c r="G105" s="216"/>
      <c r="H105" s="113"/>
      <c r="I105" s="20"/>
    </row>
    <row r="106" spans="1:9" ht="27.75" customHeight="1" x14ac:dyDescent="0.25">
      <c r="A106" s="9" t="s">
        <v>3</v>
      </c>
      <c r="B106" s="9" t="s">
        <v>1</v>
      </c>
      <c r="C106" s="13" t="s">
        <v>6</v>
      </c>
      <c r="D106" s="13" t="s">
        <v>107</v>
      </c>
      <c r="E106" s="5" t="s">
        <v>5</v>
      </c>
      <c r="F106" s="5" t="s">
        <v>60</v>
      </c>
      <c r="G106" s="16" t="s">
        <v>2</v>
      </c>
      <c r="H106" s="109">
        <v>517</v>
      </c>
      <c r="I106" s="20"/>
    </row>
    <row r="107" spans="1:9" ht="27" customHeight="1" x14ac:dyDescent="0.25">
      <c r="A107" s="683" t="s">
        <v>473</v>
      </c>
      <c r="B107" s="684"/>
      <c r="C107" s="684"/>
      <c r="D107" s="684"/>
      <c r="E107" s="684"/>
      <c r="F107" s="684"/>
      <c r="G107" s="685"/>
      <c r="H107" s="110">
        <v>517</v>
      </c>
      <c r="I107" s="441" t="s">
        <v>471</v>
      </c>
    </row>
    <row r="108" spans="1:9" ht="20.100000000000001" customHeight="1" x14ac:dyDescent="0.25">
      <c r="A108" s="214"/>
      <c r="B108" s="244"/>
      <c r="C108" s="10"/>
      <c r="D108" s="10"/>
      <c r="E108" s="214"/>
      <c r="F108" s="214"/>
      <c r="G108" s="155"/>
      <c r="H108" s="110">
        <v>517</v>
      </c>
      <c r="I108" s="20"/>
    </row>
    <row r="109" spans="1:9" ht="20.100000000000001" customHeight="1" x14ac:dyDescent="0.25">
      <c r="A109" s="214"/>
      <c r="B109" s="244"/>
      <c r="C109" s="10"/>
      <c r="D109" s="10"/>
      <c r="E109" s="214"/>
      <c r="F109" s="214"/>
      <c r="G109" s="155"/>
      <c r="H109" s="110">
        <v>517</v>
      </c>
      <c r="I109" s="20"/>
    </row>
    <row r="110" spans="1:9" ht="20.100000000000001" customHeight="1" x14ac:dyDescent="0.25">
      <c r="A110" s="1"/>
      <c r="C110" s="15"/>
      <c r="D110" s="15"/>
      <c r="E110" s="1"/>
      <c r="F110" s="1"/>
      <c r="H110" s="1"/>
      <c r="I110" s="20"/>
    </row>
    <row r="111" spans="1:9" ht="20.100000000000001" customHeight="1" x14ac:dyDescent="0.25">
      <c r="A111" s="1"/>
      <c r="C111" s="15"/>
      <c r="D111" s="15"/>
      <c r="E111" s="1"/>
      <c r="F111" s="1"/>
      <c r="H111" s="1"/>
      <c r="I111" s="20"/>
    </row>
    <row r="112" spans="1:9" ht="20.100000000000001" customHeight="1" x14ac:dyDescent="0.25">
      <c r="A112" s="1"/>
      <c r="C112" s="15"/>
      <c r="D112" s="15"/>
      <c r="E112" s="1"/>
      <c r="F112" s="1"/>
      <c r="G112" s="136" t="s">
        <v>106</v>
      </c>
      <c r="H112" s="137">
        <v>42348</v>
      </c>
      <c r="I112" s="20"/>
    </row>
    <row r="113" spans="1:9" ht="20.100000000000001" customHeight="1" x14ac:dyDescent="0.25">
      <c r="A113" s="632" t="s">
        <v>148</v>
      </c>
      <c r="B113" s="633"/>
      <c r="C113" s="633"/>
      <c r="D113" s="633"/>
      <c r="E113" s="633"/>
      <c r="F113" s="634"/>
      <c r="G113" s="216"/>
      <c r="H113" s="113"/>
      <c r="I113" s="20"/>
    </row>
    <row r="114" spans="1:9" ht="30" customHeight="1" x14ac:dyDescent="0.25">
      <c r="A114" s="9" t="s">
        <v>3</v>
      </c>
      <c r="B114" s="9" t="s">
        <v>1</v>
      </c>
      <c r="C114" s="13" t="s">
        <v>6</v>
      </c>
      <c r="D114" s="13" t="s">
        <v>107</v>
      </c>
      <c r="E114" s="5" t="s">
        <v>5</v>
      </c>
      <c r="F114" s="5" t="s">
        <v>60</v>
      </c>
      <c r="G114" s="374" t="s">
        <v>2</v>
      </c>
      <c r="H114" s="375">
        <v>1600</v>
      </c>
      <c r="I114" s="20"/>
    </row>
    <row r="115" spans="1:9" ht="18.75" customHeight="1" x14ac:dyDescent="0.25">
      <c r="A115" s="214"/>
      <c r="B115" s="708" t="s">
        <v>304</v>
      </c>
      <c r="C115" s="10"/>
      <c r="D115" s="10"/>
      <c r="E115" s="643" t="s">
        <v>305</v>
      </c>
      <c r="F115" s="645"/>
      <c r="G115" s="376">
        <v>800</v>
      </c>
      <c r="H115" s="377">
        <f>H114-G115</f>
        <v>800</v>
      </c>
      <c r="I115" s="20"/>
    </row>
    <row r="116" spans="1:9" ht="22.5" customHeight="1" x14ac:dyDescent="0.25">
      <c r="A116" s="214"/>
      <c r="B116" s="709"/>
      <c r="C116" s="10"/>
      <c r="D116" s="10"/>
      <c r="E116" s="643" t="s">
        <v>305</v>
      </c>
      <c r="F116" s="645"/>
      <c r="G116" s="376">
        <v>800</v>
      </c>
      <c r="H116" s="377">
        <f t="shared" ref="H116:H118" si="9">H115-G116</f>
        <v>0</v>
      </c>
      <c r="I116" s="20"/>
    </row>
    <row r="117" spans="1:9" ht="22.5" customHeight="1" x14ac:dyDescent="0.25">
      <c r="A117" s="369"/>
      <c r="B117" s="709"/>
      <c r="C117" s="10"/>
      <c r="D117" s="10"/>
      <c r="E117" s="643" t="s">
        <v>306</v>
      </c>
      <c r="F117" s="645"/>
      <c r="G117" s="376">
        <v>800</v>
      </c>
      <c r="H117" s="377">
        <f t="shared" si="9"/>
        <v>-800</v>
      </c>
      <c r="I117" s="20"/>
    </row>
    <row r="118" spans="1:9" ht="27" customHeight="1" x14ac:dyDescent="0.25">
      <c r="A118" s="369"/>
      <c r="B118" s="710"/>
      <c r="C118" s="10"/>
      <c r="D118" s="10"/>
      <c r="E118" s="643" t="s">
        <v>307</v>
      </c>
      <c r="F118" s="645"/>
      <c r="G118" s="376">
        <v>200</v>
      </c>
      <c r="H118" s="378">
        <f t="shared" si="9"/>
        <v>-1000</v>
      </c>
      <c r="I118" s="173"/>
    </row>
    <row r="119" spans="1:9" ht="22.5" customHeight="1" x14ac:dyDescent="0.25">
      <c r="A119" s="719" t="s">
        <v>351</v>
      </c>
      <c r="B119" s="720"/>
      <c r="C119" s="720"/>
      <c r="D119" s="720"/>
      <c r="E119" s="720"/>
      <c r="F119" s="721"/>
      <c r="G119" s="379">
        <v>1740</v>
      </c>
      <c r="H119" s="380"/>
      <c r="I119" s="20"/>
    </row>
    <row r="120" spans="1:9" ht="22.5" customHeight="1" x14ac:dyDescent="0.25">
      <c r="A120" s="671" t="s">
        <v>474</v>
      </c>
      <c r="B120" s="672"/>
      <c r="C120" s="672"/>
      <c r="D120" s="672"/>
      <c r="E120" s="672"/>
      <c r="F120" s="673"/>
      <c r="G120" s="376"/>
      <c r="H120" s="377">
        <v>2770</v>
      </c>
      <c r="I120" s="623" t="s">
        <v>475</v>
      </c>
    </row>
    <row r="121" spans="1:9" ht="22.5" customHeight="1" x14ac:dyDescent="0.25">
      <c r="A121" s="369"/>
      <c r="B121" s="371"/>
      <c r="C121" s="10"/>
      <c r="D121" s="10"/>
      <c r="E121" s="367"/>
      <c r="F121" s="368"/>
      <c r="G121" s="376"/>
      <c r="H121" s="377">
        <f t="shared" ref="H121:H124" si="10">H120-G121</f>
        <v>2770</v>
      </c>
      <c r="I121" s="623"/>
    </row>
    <row r="122" spans="1:9" ht="22.5" customHeight="1" x14ac:dyDescent="0.25">
      <c r="A122" s="369"/>
      <c r="B122" s="371"/>
      <c r="C122" s="10"/>
      <c r="D122" s="10"/>
      <c r="E122" s="367"/>
      <c r="F122" s="368"/>
      <c r="G122" s="376"/>
      <c r="H122" s="377">
        <f t="shared" si="10"/>
        <v>2770</v>
      </c>
      <c r="I122" s="20"/>
    </row>
    <row r="123" spans="1:9" ht="22.5" customHeight="1" x14ac:dyDescent="0.25">
      <c r="A123" s="369"/>
      <c r="B123" s="371"/>
      <c r="C123" s="10"/>
      <c r="D123" s="10"/>
      <c r="E123" s="367"/>
      <c r="F123" s="368"/>
      <c r="G123" s="376"/>
      <c r="H123" s="377">
        <f t="shared" si="10"/>
        <v>2770</v>
      </c>
      <c r="I123" s="20"/>
    </row>
    <row r="124" spans="1:9" ht="20.100000000000001" customHeight="1" x14ac:dyDescent="0.25">
      <c r="A124" s="214"/>
      <c r="B124" s="244"/>
      <c r="C124" s="10"/>
      <c r="D124" s="10"/>
      <c r="E124" s="214"/>
      <c r="F124" s="214"/>
      <c r="G124" s="376"/>
      <c r="H124" s="377">
        <f t="shared" si="10"/>
        <v>2770</v>
      </c>
      <c r="I124" s="20"/>
    </row>
    <row r="125" spans="1:9" ht="20.100000000000001" customHeight="1" x14ac:dyDescent="0.25">
      <c r="A125" s="1"/>
      <c r="C125" s="15"/>
      <c r="D125" s="15"/>
      <c r="E125" s="1"/>
      <c r="F125" s="1"/>
      <c r="G125" s="372"/>
      <c r="H125" s="373"/>
      <c r="I125" s="20"/>
    </row>
    <row r="126" spans="1:9" ht="20.100000000000001" customHeight="1" x14ac:dyDescent="0.25">
      <c r="A126" s="1"/>
      <c r="C126" s="15"/>
      <c r="D126" s="15"/>
      <c r="E126" s="1"/>
      <c r="F126" s="1"/>
      <c r="G126" s="136" t="s">
        <v>106</v>
      </c>
      <c r="H126" s="137">
        <v>42352</v>
      </c>
      <c r="I126" s="20"/>
    </row>
    <row r="127" spans="1:9" ht="20.100000000000001" customHeight="1" x14ac:dyDescent="0.25">
      <c r="A127" s="632" t="s">
        <v>397</v>
      </c>
      <c r="B127" s="633"/>
      <c r="C127" s="633"/>
      <c r="D127" s="633"/>
      <c r="E127" s="633"/>
      <c r="F127" s="634"/>
      <c r="G127" s="216"/>
      <c r="H127" s="113"/>
      <c r="I127" s="20"/>
    </row>
    <row r="128" spans="1:9" ht="30.75" customHeight="1" x14ac:dyDescent="0.25">
      <c r="A128" s="9" t="s">
        <v>3</v>
      </c>
      <c r="B128" s="9" t="s">
        <v>1</v>
      </c>
      <c r="C128" s="13" t="s">
        <v>6</v>
      </c>
      <c r="D128" s="13" t="s">
        <v>107</v>
      </c>
      <c r="E128" s="5" t="s">
        <v>5</v>
      </c>
      <c r="F128" s="5" t="s">
        <v>60</v>
      </c>
      <c r="G128" s="16" t="s">
        <v>2</v>
      </c>
      <c r="H128" s="109">
        <v>250</v>
      </c>
      <c r="I128" s="20"/>
    </row>
    <row r="129" spans="1:10" ht="20.100000000000001" customHeight="1" x14ac:dyDescent="0.25">
      <c r="A129" s="289" t="s">
        <v>196</v>
      </c>
      <c r="B129" s="244">
        <v>42066</v>
      </c>
      <c r="C129" s="10"/>
      <c r="D129" s="10">
        <v>5</v>
      </c>
      <c r="E129" s="289" t="s">
        <v>194</v>
      </c>
      <c r="F129" s="289" t="s">
        <v>191</v>
      </c>
      <c r="G129" s="353">
        <v>80</v>
      </c>
      <c r="H129" s="110">
        <f>H128-G129</f>
        <v>170</v>
      </c>
      <c r="I129" s="20"/>
    </row>
    <row r="130" spans="1:10" ht="20.100000000000001" customHeight="1" x14ac:dyDescent="0.25">
      <c r="A130" s="289" t="s">
        <v>196</v>
      </c>
      <c r="B130" s="244">
        <v>42066</v>
      </c>
      <c r="C130" s="10"/>
      <c r="D130" s="10" t="s">
        <v>192</v>
      </c>
      <c r="E130" s="289" t="s">
        <v>193</v>
      </c>
      <c r="F130" s="289" t="s">
        <v>294</v>
      </c>
      <c r="G130" s="353">
        <v>40</v>
      </c>
      <c r="H130" s="110">
        <f t="shared" ref="H130:H133" si="11">H129-G130</f>
        <v>130</v>
      </c>
      <c r="I130" s="20"/>
    </row>
    <row r="131" spans="1:10" ht="20.100000000000001" customHeight="1" x14ac:dyDescent="0.25">
      <c r="A131" s="289" t="s">
        <v>196</v>
      </c>
      <c r="B131" s="244">
        <v>42066</v>
      </c>
      <c r="C131" s="10"/>
      <c r="D131" s="10" t="s">
        <v>192</v>
      </c>
      <c r="E131" s="351" t="s">
        <v>192</v>
      </c>
      <c r="F131" s="351" t="s">
        <v>195</v>
      </c>
      <c r="G131" s="353">
        <v>60</v>
      </c>
      <c r="H131" s="110">
        <f>H130-G131</f>
        <v>70</v>
      </c>
      <c r="I131" s="20"/>
    </row>
    <row r="132" spans="1:10" ht="20.100000000000001" customHeight="1" x14ac:dyDescent="0.25">
      <c r="A132" s="77"/>
      <c r="B132" s="239"/>
      <c r="C132" s="78"/>
      <c r="D132" s="78"/>
      <c r="E132" s="686" t="s">
        <v>290</v>
      </c>
      <c r="F132" s="351" t="s">
        <v>289</v>
      </c>
      <c r="G132" s="8">
        <v>300</v>
      </c>
      <c r="H132" s="110">
        <f t="shared" si="11"/>
        <v>-230</v>
      </c>
      <c r="I132" s="20"/>
    </row>
    <row r="133" spans="1:10" ht="25.5" customHeight="1" x14ac:dyDescent="0.25">
      <c r="A133" s="77"/>
      <c r="B133" s="239"/>
      <c r="C133" s="78"/>
      <c r="D133" s="78"/>
      <c r="E133" s="687"/>
      <c r="F133" s="352" t="s">
        <v>293</v>
      </c>
      <c r="G133" s="8">
        <v>595</v>
      </c>
      <c r="H133" s="110">
        <f t="shared" si="11"/>
        <v>-825</v>
      </c>
      <c r="I133" s="441" t="s">
        <v>398</v>
      </c>
    </row>
    <row r="134" spans="1:10" ht="42.75" customHeight="1" x14ac:dyDescent="0.25">
      <c r="A134" s="694" t="s">
        <v>367</v>
      </c>
      <c r="B134" s="695"/>
      <c r="C134" s="695"/>
      <c r="D134" s="695"/>
      <c r="E134" s="695"/>
      <c r="F134" s="696"/>
      <c r="G134" s="8"/>
      <c r="H134" s="110"/>
      <c r="I134" s="700"/>
      <c r="J134" s="701"/>
    </row>
    <row r="135" spans="1:10" ht="20.100000000000001" customHeight="1" x14ac:dyDescent="0.25">
      <c r="A135" s="671" t="s">
        <v>476</v>
      </c>
      <c r="B135" s="672"/>
      <c r="C135" s="672"/>
      <c r="D135" s="672"/>
      <c r="E135" s="672"/>
      <c r="F135" s="672"/>
      <c r="G135" s="673"/>
      <c r="H135" s="110">
        <v>1495</v>
      </c>
      <c r="I135" s="441" t="s">
        <v>477</v>
      </c>
    </row>
    <row r="136" spans="1:10" ht="20.100000000000001" customHeight="1" x14ac:dyDescent="0.25">
      <c r="A136" s="77"/>
      <c r="B136" s="239"/>
      <c r="C136" s="78"/>
      <c r="D136" s="78"/>
      <c r="E136" s="450"/>
      <c r="F136" s="450"/>
      <c r="G136" s="8"/>
      <c r="H136" s="110">
        <f>H135-G136</f>
        <v>1495</v>
      </c>
      <c r="I136" s="20"/>
    </row>
    <row r="137" spans="1:10" ht="20.100000000000001" customHeight="1" x14ac:dyDescent="0.25">
      <c r="A137" s="77"/>
      <c r="B137" s="239"/>
      <c r="C137" s="78"/>
      <c r="D137" s="78"/>
      <c r="E137" s="77"/>
      <c r="F137" s="77"/>
      <c r="G137" s="8"/>
      <c r="H137" s="110">
        <f>H136-G137</f>
        <v>1495</v>
      </c>
      <c r="I137" s="20"/>
    </row>
    <row r="138" spans="1:10" ht="20.100000000000001" customHeight="1" x14ac:dyDescent="0.25">
      <c r="A138" s="1"/>
      <c r="C138" s="15"/>
      <c r="D138" s="15"/>
      <c r="E138" s="1"/>
      <c r="F138" s="1"/>
      <c r="H138" s="1"/>
      <c r="I138" s="20"/>
    </row>
    <row r="139" spans="1:10" ht="20.100000000000001" customHeight="1" x14ac:dyDescent="0.25">
      <c r="A139" s="1"/>
      <c r="C139" s="15"/>
      <c r="D139" s="15"/>
      <c r="E139" s="1"/>
      <c r="F139" s="1"/>
      <c r="G139" s="357" t="s">
        <v>106</v>
      </c>
      <c r="H139" s="358">
        <v>42184</v>
      </c>
      <c r="I139" s="458"/>
    </row>
    <row r="140" spans="1:10" ht="20.100000000000001" customHeight="1" x14ac:dyDescent="0.25">
      <c r="A140" s="675" t="s">
        <v>334</v>
      </c>
      <c r="B140" s="676"/>
      <c r="C140" s="676"/>
      <c r="D140" s="676"/>
      <c r="E140" s="676"/>
      <c r="F140" s="677"/>
      <c r="G140" s="216"/>
      <c r="H140" s="113"/>
      <c r="I140" s="20"/>
    </row>
    <row r="141" spans="1:10" ht="27.75" customHeight="1" x14ac:dyDescent="0.25">
      <c r="A141" s="9" t="s">
        <v>3</v>
      </c>
      <c r="B141" s="9" t="s">
        <v>1</v>
      </c>
      <c r="C141" s="13" t="s">
        <v>6</v>
      </c>
      <c r="D141" s="13" t="s">
        <v>107</v>
      </c>
      <c r="E141" s="5" t="s">
        <v>5</v>
      </c>
      <c r="F141" s="5" t="s">
        <v>60</v>
      </c>
      <c r="G141" s="16" t="s">
        <v>2</v>
      </c>
      <c r="H141" s="109">
        <v>2500</v>
      </c>
      <c r="I141" s="20"/>
    </row>
    <row r="142" spans="1:10" ht="20.100000000000001" customHeight="1" x14ac:dyDescent="0.25">
      <c r="A142" s="355"/>
      <c r="B142" s="244"/>
      <c r="C142" s="10"/>
      <c r="D142" s="697" t="s">
        <v>333</v>
      </c>
      <c r="E142" s="698"/>
      <c r="F142" s="699"/>
      <c r="G142" s="353">
        <v>1250</v>
      </c>
      <c r="H142" s="400">
        <f>H141-G142</f>
        <v>1250</v>
      </c>
      <c r="I142" s="401"/>
    </row>
    <row r="143" spans="1:10" ht="20.100000000000001" customHeight="1" x14ac:dyDescent="0.25">
      <c r="A143" s="399"/>
      <c r="B143" s="244"/>
      <c r="C143" s="10"/>
      <c r="D143" s="697" t="s">
        <v>347</v>
      </c>
      <c r="E143" s="698"/>
      <c r="F143" s="699"/>
      <c r="G143" s="353">
        <v>820</v>
      </c>
      <c r="H143" s="424">
        <f t="shared" ref="H143:H150" si="12">H142-G143</f>
        <v>430</v>
      </c>
      <c r="I143" s="423" t="s">
        <v>348</v>
      </c>
    </row>
    <row r="144" spans="1:10" ht="20.100000000000001" customHeight="1" x14ac:dyDescent="0.25">
      <c r="A144" s="399"/>
      <c r="B144" s="244"/>
      <c r="C144" s="10"/>
      <c r="D144" s="10"/>
      <c r="E144" s="399"/>
      <c r="F144" s="399"/>
      <c r="G144" s="353"/>
      <c r="H144" s="400">
        <f t="shared" si="12"/>
        <v>430</v>
      </c>
      <c r="I144" s="401"/>
    </row>
    <row r="145" spans="1:9" ht="20.100000000000001" customHeight="1" x14ac:dyDescent="0.25">
      <c r="A145" s="77"/>
      <c r="B145" s="239"/>
      <c r="C145" s="78"/>
      <c r="D145" s="78"/>
      <c r="E145" s="643" t="s">
        <v>444</v>
      </c>
      <c r="F145" s="645"/>
      <c r="G145" s="8">
        <v>430</v>
      </c>
      <c r="H145" s="400">
        <f t="shared" si="12"/>
        <v>0</v>
      </c>
      <c r="I145" s="401"/>
    </row>
    <row r="146" spans="1:9" ht="20.100000000000001" customHeight="1" x14ac:dyDescent="0.25">
      <c r="A146" s="77"/>
      <c r="B146" s="239"/>
      <c r="C146" s="78"/>
      <c r="D146" s="78"/>
      <c r="E146" s="77"/>
      <c r="F146" s="399"/>
      <c r="G146" s="8"/>
      <c r="H146" s="400">
        <f t="shared" si="12"/>
        <v>0</v>
      </c>
      <c r="I146" s="401"/>
    </row>
    <row r="147" spans="1:9" ht="20.100000000000001" customHeight="1" x14ac:dyDescent="0.25">
      <c r="A147" s="77"/>
      <c r="B147" s="239"/>
      <c r="C147" s="78"/>
      <c r="D147" s="78"/>
      <c r="E147" s="77"/>
      <c r="F147" s="399"/>
      <c r="G147" s="8"/>
      <c r="H147" s="400">
        <f t="shared" si="12"/>
        <v>0</v>
      </c>
      <c r="I147" s="401"/>
    </row>
    <row r="148" spans="1:9" ht="20.100000000000001" customHeight="1" x14ac:dyDescent="0.25">
      <c r="A148" s="77"/>
      <c r="B148" s="239"/>
      <c r="C148" s="78"/>
      <c r="D148" s="78"/>
      <c r="E148" s="77"/>
      <c r="F148" s="399"/>
      <c r="G148" s="8"/>
      <c r="H148" s="400">
        <f t="shared" si="12"/>
        <v>0</v>
      </c>
      <c r="I148" s="401"/>
    </row>
    <row r="149" spans="1:9" ht="20.100000000000001" customHeight="1" x14ac:dyDescent="0.25">
      <c r="A149" s="77"/>
      <c r="B149" s="239"/>
      <c r="C149" s="78"/>
      <c r="D149" s="78"/>
      <c r="E149" s="77"/>
      <c r="F149" s="399"/>
      <c r="G149" s="8"/>
      <c r="H149" s="400">
        <f t="shared" si="12"/>
        <v>0</v>
      </c>
      <c r="I149" s="401"/>
    </row>
    <row r="150" spans="1:9" ht="20.100000000000001" customHeight="1" x14ac:dyDescent="0.25">
      <c r="A150" s="77"/>
      <c r="B150" s="239"/>
      <c r="C150" s="78"/>
      <c r="D150" s="78"/>
      <c r="E150" s="77"/>
      <c r="F150" s="399"/>
      <c r="G150" s="8"/>
      <c r="H150" s="400">
        <f t="shared" si="12"/>
        <v>0</v>
      </c>
      <c r="I150" s="401"/>
    </row>
    <row r="151" spans="1:9" ht="30" customHeight="1" x14ac:dyDescent="0.25">
      <c r="A151" s="1"/>
      <c r="C151" s="15"/>
      <c r="D151" s="15"/>
      <c r="E151" s="1"/>
      <c r="F151" s="1"/>
      <c r="H151" s="402"/>
      <c r="I151" s="401"/>
    </row>
    <row r="152" spans="1:9" ht="20.100000000000001" customHeight="1" x14ac:dyDescent="0.25">
      <c r="A152" s="1"/>
      <c r="C152" s="15"/>
      <c r="D152" s="15"/>
      <c r="E152" s="1"/>
      <c r="F152" s="1"/>
      <c r="G152" s="357" t="s">
        <v>106</v>
      </c>
      <c r="H152" s="358">
        <v>42342</v>
      </c>
      <c r="I152" s="20"/>
    </row>
    <row r="153" spans="1:9" ht="20.100000000000001" customHeight="1" x14ac:dyDescent="0.25">
      <c r="A153" s="632" t="s">
        <v>369</v>
      </c>
      <c r="B153" s="633"/>
      <c r="C153" s="633"/>
      <c r="D153" s="633"/>
      <c r="E153" s="633"/>
      <c r="F153" s="634"/>
      <c r="G153" s="216"/>
      <c r="H153" s="113"/>
      <c r="I153" s="20"/>
    </row>
    <row r="154" spans="1:9" ht="28.5" customHeight="1" x14ac:dyDescent="0.25">
      <c r="A154" s="9" t="s">
        <v>3</v>
      </c>
      <c r="B154" s="9" t="s">
        <v>1</v>
      </c>
      <c r="C154" s="13" t="s">
        <v>6</v>
      </c>
      <c r="D154" s="13" t="s">
        <v>107</v>
      </c>
      <c r="E154" s="5" t="s">
        <v>5</v>
      </c>
      <c r="F154" s="5" t="s">
        <v>60</v>
      </c>
      <c r="G154" s="16" t="s">
        <v>2</v>
      </c>
      <c r="H154" s="604">
        <v>1590</v>
      </c>
      <c r="I154" s="20"/>
    </row>
    <row r="155" spans="1:9" ht="20.100000000000001" hidden="1" customHeight="1" x14ac:dyDescent="0.25">
      <c r="A155" s="399"/>
      <c r="B155" s="244"/>
      <c r="C155" s="10"/>
      <c r="D155" s="10"/>
      <c r="E155" s="399"/>
      <c r="F155" s="60" t="s">
        <v>332</v>
      </c>
      <c r="G155" s="425">
        <v>299</v>
      </c>
      <c r="H155" s="110">
        <f>H154-G155</f>
        <v>1291</v>
      </c>
      <c r="I155" s="674" t="s">
        <v>415</v>
      </c>
    </row>
    <row r="156" spans="1:9" ht="20.100000000000001" hidden="1" customHeight="1" x14ac:dyDescent="0.25">
      <c r="A156" s="678" t="s">
        <v>496</v>
      </c>
      <c r="B156" s="679"/>
      <c r="C156" s="679"/>
      <c r="D156" s="679"/>
      <c r="E156" s="679"/>
      <c r="F156" s="680"/>
      <c r="G156" s="353"/>
      <c r="H156" s="110">
        <f>H155-G156</f>
        <v>1291</v>
      </c>
      <c r="I156" s="674"/>
    </row>
    <row r="157" spans="1:9" ht="20.100000000000001" hidden="1" customHeight="1" x14ac:dyDescent="0.25">
      <c r="A157" s="399" t="s">
        <v>196</v>
      </c>
      <c r="B157" s="244">
        <v>42206</v>
      </c>
      <c r="C157" s="10"/>
      <c r="D157" s="10"/>
      <c r="E157" s="399" t="s">
        <v>396</v>
      </c>
      <c r="F157" s="399"/>
      <c r="G157" s="353">
        <v>345</v>
      </c>
      <c r="H157" s="110">
        <f t="shared" ref="H157:H167" si="13">H156-G157</f>
        <v>946</v>
      </c>
      <c r="I157" s="20"/>
    </row>
    <row r="158" spans="1:9" ht="20.100000000000001" hidden="1" customHeight="1" x14ac:dyDescent="0.25">
      <c r="A158" s="77" t="s">
        <v>196</v>
      </c>
      <c r="B158" s="239">
        <v>42227</v>
      </c>
      <c r="C158" s="78"/>
      <c r="D158" s="78"/>
      <c r="E158" s="505" t="s">
        <v>413</v>
      </c>
      <c r="F158" s="399"/>
      <c r="G158" s="8">
        <v>106</v>
      </c>
      <c r="H158" s="110">
        <f t="shared" si="13"/>
        <v>840</v>
      </c>
      <c r="I158" s="20"/>
    </row>
    <row r="159" spans="1:9" ht="20.100000000000001" hidden="1" customHeight="1" x14ac:dyDescent="0.25">
      <c r="A159" s="77" t="s">
        <v>196</v>
      </c>
      <c r="B159" s="239">
        <v>42227</v>
      </c>
      <c r="C159" s="78"/>
      <c r="D159" s="78"/>
      <c r="E159" s="505" t="s">
        <v>412</v>
      </c>
      <c r="F159" s="399"/>
      <c r="G159" s="8">
        <v>165</v>
      </c>
      <c r="H159" s="110">
        <f t="shared" si="13"/>
        <v>675</v>
      </c>
      <c r="I159" s="20"/>
    </row>
    <row r="160" spans="1:9" ht="20.100000000000001" hidden="1" customHeight="1" x14ac:dyDescent="0.25">
      <c r="A160" s="77" t="s">
        <v>196</v>
      </c>
      <c r="B160" s="239">
        <v>42228</v>
      </c>
      <c r="C160" s="78"/>
      <c r="D160" s="78"/>
      <c r="E160" s="399" t="s">
        <v>414</v>
      </c>
      <c r="F160" s="399"/>
      <c r="G160" s="8">
        <v>180</v>
      </c>
      <c r="H160" s="110">
        <f t="shared" si="13"/>
        <v>495</v>
      </c>
      <c r="I160" s="20"/>
    </row>
    <row r="161" spans="1:9" ht="20.100000000000001" hidden="1" customHeight="1" x14ac:dyDescent="0.25">
      <c r="A161" s="77" t="s">
        <v>196</v>
      </c>
      <c r="B161" s="239">
        <v>42230</v>
      </c>
      <c r="C161" s="78"/>
      <c r="D161" s="78"/>
      <c r="E161" s="506" t="s">
        <v>417</v>
      </c>
      <c r="F161" s="77"/>
      <c r="G161" s="8">
        <v>70</v>
      </c>
      <c r="H161" s="110">
        <f t="shared" si="13"/>
        <v>425</v>
      </c>
      <c r="I161" s="20"/>
    </row>
    <row r="162" spans="1:9" ht="20.100000000000001" hidden="1" customHeight="1" x14ac:dyDescent="0.25">
      <c r="A162" s="77" t="s">
        <v>196</v>
      </c>
      <c r="B162" s="239">
        <v>42235</v>
      </c>
      <c r="C162" s="78"/>
      <c r="D162" s="78"/>
      <c r="E162" s="77" t="s">
        <v>446</v>
      </c>
      <c r="F162" s="77"/>
      <c r="G162" s="8">
        <v>300</v>
      </c>
      <c r="H162" s="110">
        <f t="shared" si="13"/>
        <v>125</v>
      </c>
      <c r="I162" s="20"/>
    </row>
    <row r="163" spans="1:9" ht="20.100000000000001" hidden="1" customHeight="1" x14ac:dyDescent="0.25">
      <c r="A163" s="77" t="s">
        <v>196</v>
      </c>
      <c r="B163" s="239">
        <v>42258</v>
      </c>
      <c r="C163" s="78"/>
      <c r="D163" s="78"/>
      <c r="E163" s="77" t="s">
        <v>428</v>
      </c>
      <c r="F163" s="77"/>
      <c r="G163" s="8">
        <v>185</v>
      </c>
      <c r="H163" s="110">
        <f t="shared" si="13"/>
        <v>-60</v>
      </c>
      <c r="I163" s="20"/>
    </row>
    <row r="164" spans="1:9" ht="20.100000000000001" hidden="1" customHeight="1" x14ac:dyDescent="0.25">
      <c r="A164" s="77" t="s">
        <v>196</v>
      </c>
      <c r="B164" s="239" t="s">
        <v>454</v>
      </c>
      <c r="C164" s="78"/>
      <c r="D164" s="78"/>
      <c r="E164" s="77" t="s">
        <v>453</v>
      </c>
      <c r="F164" s="77"/>
      <c r="G164" s="8">
        <v>250</v>
      </c>
      <c r="H164" s="110">
        <f t="shared" si="13"/>
        <v>-310</v>
      </c>
      <c r="I164" s="20"/>
    </row>
    <row r="165" spans="1:9" ht="20.100000000000001" hidden="1" customHeight="1" x14ac:dyDescent="0.25">
      <c r="A165" s="77" t="s">
        <v>196</v>
      </c>
      <c r="B165" s="239">
        <v>42307</v>
      </c>
      <c r="C165" s="78"/>
      <c r="D165" s="78"/>
      <c r="E165" s="77" t="s">
        <v>447</v>
      </c>
      <c r="F165" s="77"/>
      <c r="G165" s="8">
        <v>250</v>
      </c>
      <c r="H165" s="110">
        <f t="shared" si="13"/>
        <v>-560</v>
      </c>
      <c r="I165" s="20"/>
    </row>
    <row r="166" spans="1:9" ht="20.100000000000001" hidden="1" customHeight="1" x14ac:dyDescent="0.25">
      <c r="A166" s="77" t="s">
        <v>196</v>
      </c>
      <c r="B166" s="239">
        <v>42326</v>
      </c>
      <c r="C166" s="78"/>
      <c r="D166" s="78"/>
      <c r="E166" s="77" t="s">
        <v>448</v>
      </c>
      <c r="F166" s="77"/>
      <c r="G166" s="8">
        <v>1070</v>
      </c>
      <c r="H166" s="110">
        <f t="shared" si="13"/>
        <v>-1630</v>
      </c>
      <c r="I166" s="20"/>
    </row>
    <row r="167" spans="1:9" ht="20.100000000000001" hidden="1" customHeight="1" x14ac:dyDescent="0.25">
      <c r="A167" s="77" t="s">
        <v>196</v>
      </c>
      <c r="B167" s="239">
        <v>42331</v>
      </c>
      <c r="C167" s="78"/>
      <c r="D167" s="78"/>
      <c r="E167" s="77" t="s">
        <v>449</v>
      </c>
      <c r="F167" s="77"/>
      <c r="G167" s="8">
        <v>1400</v>
      </c>
      <c r="H167" s="110">
        <f t="shared" si="13"/>
        <v>-3030</v>
      </c>
      <c r="I167" s="86">
        <v>6751.79</v>
      </c>
    </row>
    <row r="168" spans="1:9" ht="20.100000000000001" hidden="1" customHeight="1" x14ac:dyDescent="0.25">
      <c r="A168" s="683" t="s">
        <v>450</v>
      </c>
      <c r="B168" s="684"/>
      <c r="C168" s="684"/>
      <c r="D168" s="684"/>
      <c r="E168" s="684"/>
      <c r="F168" s="684"/>
      <c r="G168" s="512">
        <v>6751.79</v>
      </c>
      <c r="H168" s="110">
        <f>G168+H167</f>
        <v>3721.79</v>
      </c>
      <c r="I168" s="674" t="s">
        <v>450</v>
      </c>
    </row>
    <row r="169" spans="1:9" ht="20.100000000000001" customHeight="1" x14ac:dyDescent="0.25">
      <c r="A169" s="77" t="s">
        <v>196</v>
      </c>
      <c r="B169" s="239">
        <v>42340</v>
      </c>
      <c r="C169" s="78"/>
      <c r="D169" s="78"/>
      <c r="E169" s="77" t="s">
        <v>451</v>
      </c>
      <c r="F169" s="77"/>
      <c r="G169" s="8">
        <v>170</v>
      </c>
      <c r="H169" s="110">
        <f>H168-G169</f>
        <v>3551.79</v>
      </c>
      <c r="I169" s="674"/>
    </row>
    <row r="170" spans="1:9" ht="23.25" customHeight="1" x14ac:dyDescent="0.25">
      <c r="A170" s="77" t="s">
        <v>196</v>
      </c>
      <c r="B170" s="239">
        <v>42342</v>
      </c>
      <c r="C170" s="78"/>
      <c r="D170" s="78"/>
      <c r="E170" s="77" t="s">
        <v>452</v>
      </c>
      <c r="F170" s="77"/>
      <c r="G170" s="8">
        <v>471</v>
      </c>
      <c r="H170" s="110">
        <f>H169-G170</f>
        <v>3080.79</v>
      </c>
      <c r="I170" s="20"/>
    </row>
    <row r="171" spans="1:9" ht="20.100000000000001" customHeight="1" x14ac:dyDescent="0.25">
      <c r="A171" s="77" t="s">
        <v>196</v>
      </c>
      <c r="B171" s="239"/>
      <c r="C171" s="78"/>
      <c r="D171" s="78"/>
      <c r="E171" s="77" t="s">
        <v>479</v>
      </c>
      <c r="F171" s="77"/>
      <c r="G171" s="8">
        <v>276.79000000000002</v>
      </c>
      <c r="H171" s="110">
        <f t="shared" ref="H171:H174" si="14">H170-G171</f>
        <v>2804</v>
      </c>
      <c r="I171" s="623" t="s">
        <v>480</v>
      </c>
    </row>
    <row r="172" spans="1:9" ht="20.100000000000001" customHeight="1" x14ac:dyDescent="0.25">
      <c r="A172" s="77" t="s">
        <v>196</v>
      </c>
      <c r="B172" s="239">
        <v>42353</v>
      </c>
      <c r="C172" s="78"/>
      <c r="D172" s="78"/>
      <c r="E172" s="77" t="s">
        <v>486</v>
      </c>
      <c r="F172" s="77"/>
      <c r="G172" s="8">
        <v>145</v>
      </c>
      <c r="H172" s="110">
        <f t="shared" si="14"/>
        <v>2659</v>
      </c>
      <c r="I172" s="623"/>
    </row>
    <row r="173" spans="1:9" ht="20.100000000000001" customHeight="1" x14ac:dyDescent="0.25">
      <c r="A173" s="77" t="s">
        <v>196</v>
      </c>
      <c r="B173" s="239">
        <v>42354</v>
      </c>
      <c r="C173" s="78"/>
      <c r="D173" s="78"/>
      <c r="E173" s="77" t="s">
        <v>487</v>
      </c>
      <c r="F173" s="77"/>
      <c r="G173" s="8">
        <v>480</v>
      </c>
      <c r="H173" s="110">
        <f t="shared" si="14"/>
        <v>2179</v>
      </c>
      <c r="I173" s="20"/>
    </row>
    <row r="174" spans="1:9" ht="20.100000000000001" customHeight="1" x14ac:dyDescent="0.25">
      <c r="A174" s="77" t="s">
        <v>196</v>
      </c>
      <c r="B174" s="239">
        <v>42360</v>
      </c>
      <c r="C174" s="78"/>
      <c r="D174" s="78"/>
      <c r="E174" s="77" t="s">
        <v>497</v>
      </c>
      <c r="F174" s="77"/>
      <c r="G174" s="8">
        <v>350</v>
      </c>
      <c r="H174" s="110">
        <f t="shared" si="14"/>
        <v>1829</v>
      </c>
      <c r="I174" s="458"/>
    </row>
    <row r="175" spans="1:9" ht="20.100000000000001" customHeight="1" x14ac:dyDescent="0.25">
      <c r="A175" s="77" t="s">
        <v>196</v>
      </c>
      <c r="B175" s="239">
        <v>42381</v>
      </c>
      <c r="C175" s="78"/>
      <c r="D175" s="78"/>
      <c r="E175" s="77" t="s">
        <v>507</v>
      </c>
      <c r="F175" s="77"/>
      <c r="G175" s="8">
        <v>390</v>
      </c>
      <c r="H175" s="110">
        <f t="shared" ref="H175:H180" si="15">H174-G175</f>
        <v>1439</v>
      </c>
      <c r="I175" s="458"/>
    </row>
    <row r="176" spans="1:9" ht="20.100000000000001" customHeight="1" x14ac:dyDescent="0.25">
      <c r="A176" s="77" t="s">
        <v>196</v>
      </c>
      <c r="B176" s="239">
        <v>42381</v>
      </c>
      <c r="C176" s="78"/>
      <c r="D176" s="78"/>
      <c r="E176" s="77" t="s">
        <v>508</v>
      </c>
      <c r="F176" s="77"/>
      <c r="G176" s="8">
        <v>105</v>
      </c>
      <c r="H176" s="110">
        <f t="shared" si="15"/>
        <v>1334</v>
      </c>
      <c r="I176" s="458"/>
    </row>
    <row r="177" spans="1:9" ht="20.100000000000001" customHeight="1" x14ac:dyDescent="0.25">
      <c r="A177" s="77" t="s">
        <v>196</v>
      </c>
      <c r="B177" s="239">
        <v>42411</v>
      </c>
      <c r="C177" s="78"/>
      <c r="D177" s="78"/>
      <c r="E177" s="77" t="s">
        <v>532</v>
      </c>
      <c r="F177" s="77"/>
      <c r="G177" s="8">
        <v>315</v>
      </c>
      <c r="H177" s="110">
        <f t="shared" si="15"/>
        <v>1019</v>
      </c>
      <c r="I177" s="458"/>
    </row>
    <row r="178" spans="1:9" ht="20.100000000000001" customHeight="1" x14ac:dyDescent="0.25">
      <c r="A178" s="77" t="s">
        <v>196</v>
      </c>
      <c r="B178" s="239">
        <v>42411</v>
      </c>
      <c r="C178" s="78"/>
      <c r="D178" s="78"/>
      <c r="E178" s="77" t="s">
        <v>534</v>
      </c>
      <c r="F178" s="77"/>
      <c r="G178" s="8">
        <v>557</v>
      </c>
      <c r="H178" s="110">
        <f t="shared" si="15"/>
        <v>462</v>
      </c>
      <c r="I178" s="458"/>
    </row>
    <row r="179" spans="1:9" ht="20.100000000000001" customHeight="1" x14ac:dyDescent="0.25">
      <c r="A179" s="77" t="s">
        <v>196</v>
      </c>
      <c r="B179" s="239">
        <v>42423</v>
      </c>
      <c r="C179" s="78"/>
      <c r="D179" s="78"/>
      <c r="E179" s="77" t="s">
        <v>537</v>
      </c>
      <c r="F179" s="77"/>
      <c r="G179" s="8">
        <v>335</v>
      </c>
      <c r="H179" s="110">
        <f t="shared" si="15"/>
        <v>127</v>
      </c>
      <c r="I179" s="458"/>
    </row>
    <row r="180" spans="1:9" ht="20.100000000000001" customHeight="1" x14ac:dyDescent="0.25">
      <c r="A180" s="77" t="s">
        <v>196</v>
      </c>
      <c r="B180" s="239">
        <v>42433</v>
      </c>
      <c r="C180" s="78"/>
      <c r="D180" s="78"/>
      <c r="E180" s="77" t="s">
        <v>549</v>
      </c>
      <c r="F180" s="77"/>
      <c r="G180" s="8">
        <v>260</v>
      </c>
      <c r="H180" s="607">
        <f t="shared" si="15"/>
        <v>-133</v>
      </c>
      <c r="I180" s="458"/>
    </row>
    <row r="181" spans="1:9" ht="20.100000000000001" customHeight="1" x14ac:dyDescent="0.25">
      <c r="A181" s="1"/>
      <c r="C181" s="15"/>
      <c r="D181" s="15"/>
      <c r="E181" s="1"/>
      <c r="F181" s="1"/>
      <c r="H181" s="1"/>
      <c r="I181" s="20"/>
    </row>
    <row r="182" spans="1:9" ht="20.100000000000001" customHeight="1" x14ac:dyDescent="0.25">
      <c r="A182" s="1"/>
      <c r="C182" s="15"/>
      <c r="D182" s="15"/>
      <c r="E182" s="1"/>
      <c r="F182" s="1"/>
      <c r="G182" s="136" t="s">
        <v>106</v>
      </c>
      <c r="H182" s="460">
        <v>42192</v>
      </c>
      <c r="I182" s="20"/>
    </row>
    <row r="183" spans="1:9" ht="20.100000000000001" customHeight="1" x14ac:dyDescent="0.25">
      <c r="A183" s="632" t="s">
        <v>105</v>
      </c>
      <c r="B183" s="633"/>
      <c r="C183" s="633"/>
      <c r="D183" s="633"/>
      <c r="E183" s="633"/>
      <c r="F183" s="634"/>
      <c r="G183" s="129"/>
      <c r="H183" s="112">
        <v>4450</v>
      </c>
      <c r="I183" s="20"/>
    </row>
    <row r="184" spans="1:9" ht="24.75" customHeight="1" x14ac:dyDescent="0.25">
      <c r="A184" s="9" t="s">
        <v>3</v>
      </c>
      <c r="B184" s="9" t="s">
        <v>1</v>
      </c>
      <c r="C184" s="13" t="s">
        <v>6</v>
      </c>
      <c r="D184" s="13"/>
      <c r="E184" s="5" t="s">
        <v>61</v>
      </c>
      <c r="F184" s="5" t="s">
        <v>60</v>
      </c>
      <c r="G184" s="16" t="s">
        <v>2</v>
      </c>
      <c r="H184" s="109">
        <v>3232.25</v>
      </c>
      <c r="I184" s="20"/>
    </row>
    <row r="185" spans="1:9" ht="20.100000000000001" customHeight="1" x14ac:dyDescent="0.25">
      <c r="A185" s="77"/>
      <c r="B185" s="244"/>
      <c r="C185" s="711" t="s">
        <v>104</v>
      </c>
      <c r="D185" s="711"/>
      <c r="E185" s="711"/>
      <c r="F185" s="134">
        <v>4450</v>
      </c>
      <c r="G185" s="201"/>
      <c r="H185" s="202">
        <v>86</v>
      </c>
      <c r="I185" s="20"/>
    </row>
    <row r="186" spans="1:9" ht="20.100000000000001" customHeight="1" x14ac:dyDescent="0.25">
      <c r="A186" s="77"/>
      <c r="B186" s="244"/>
      <c r="C186" s="712" t="s">
        <v>102</v>
      </c>
      <c r="D186" s="713"/>
      <c r="E186" s="713"/>
      <c r="F186" s="132">
        <v>-3232.25</v>
      </c>
      <c r="G186" s="203"/>
      <c r="H186" s="205">
        <f>H183-H184-H185</f>
        <v>1131.75</v>
      </c>
      <c r="I186" s="20"/>
    </row>
    <row r="187" spans="1:9" ht="20.100000000000001" customHeight="1" x14ac:dyDescent="0.25">
      <c r="A187" s="77"/>
      <c r="B187" s="244"/>
      <c r="C187" s="712"/>
      <c r="D187" s="713"/>
      <c r="E187" s="713"/>
      <c r="F187" s="133">
        <v>-86</v>
      </c>
      <c r="G187" s="203"/>
      <c r="H187" s="204"/>
      <c r="I187" s="341">
        <v>42095</v>
      </c>
    </row>
    <row r="188" spans="1:9" ht="20.100000000000001" customHeight="1" x14ac:dyDescent="0.25">
      <c r="A188" s="77"/>
      <c r="B188" s="244"/>
      <c r="C188" s="714" t="s">
        <v>103</v>
      </c>
      <c r="D188" s="714"/>
      <c r="E188" s="714"/>
      <c r="F188" s="135">
        <f>SUM(F185:F187)</f>
        <v>1131.75</v>
      </c>
      <c r="G188" s="203"/>
      <c r="H188" s="204"/>
      <c r="I188" s="342" t="s">
        <v>283</v>
      </c>
    </row>
    <row r="189" spans="1:9" ht="20.100000000000001" customHeight="1" x14ac:dyDescent="0.25">
      <c r="A189" s="77"/>
      <c r="B189" s="244"/>
      <c r="C189" s="702" t="s">
        <v>130</v>
      </c>
      <c r="D189" s="702"/>
      <c r="E189" s="702"/>
      <c r="F189" s="134">
        <v>2440.25</v>
      </c>
      <c r="G189" s="203"/>
      <c r="H189" s="204"/>
      <c r="I189" s="343">
        <v>3792.74</v>
      </c>
    </row>
    <row r="190" spans="1:9" ht="20.100000000000001" customHeight="1" x14ac:dyDescent="0.25">
      <c r="A190" s="200"/>
      <c r="B190" s="261"/>
      <c r="C190" s="715" t="s">
        <v>129</v>
      </c>
      <c r="D190" s="715"/>
      <c r="E190" s="715"/>
      <c r="F190" s="206">
        <f>F189+F188</f>
        <v>3572</v>
      </c>
      <c r="G190" s="207"/>
      <c r="H190" s="208">
        <f>H186+F189</f>
        <v>3572</v>
      </c>
      <c r="I190" s="215" t="s">
        <v>145</v>
      </c>
    </row>
    <row r="191" spans="1:9" ht="26.25" customHeight="1" x14ac:dyDescent="0.25">
      <c r="A191" s="77"/>
      <c r="B191" s="239"/>
      <c r="C191" s="78"/>
      <c r="D191" s="78"/>
      <c r="E191" s="77"/>
      <c r="F191" s="344">
        <v>42095</v>
      </c>
      <c r="G191" s="199"/>
      <c r="H191" s="345">
        <v>-2331.94</v>
      </c>
      <c r="I191" s="20" t="s">
        <v>284</v>
      </c>
    </row>
    <row r="192" spans="1:9" ht="26.25" customHeight="1" x14ac:dyDescent="0.25">
      <c r="A192" s="466"/>
      <c r="B192" s="467"/>
      <c r="C192" s="465"/>
      <c r="D192" s="465"/>
      <c r="E192" s="468"/>
      <c r="F192" s="469"/>
      <c r="G192" s="449"/>
      <c r="H192" s="345"/>
      <c r="I192" s="20"/>
    </row>
    <row r="193" spans="1:9" ht="54" customHeight="1" x14ac:dyDescent="0.25">
      <c r="A193" s="703" t="s">
        <v>355</v>
      </c>
      <c r="B193" s="704"/>
      <c r="C193" s="704"/>
      <c r="D193" s="704"/>
      <c r="E193" s="704"/>
      <c r="F193" s="704"/>
      <c r="G193" s="705"/>
      <c r="H193" s="442">
        <v>0</v>
      </c>
      <c r="I193" s="20"/>
    </row>
    <row r="194" spans="1:9" ht="20.100000000000001" customHeight="1" x14ac:dyDescent="0.25">
      <c r="A194" s="77"/>
      <c r="B194" s="239"/>
      <c r="C194" s="10"/>
      <c r="D194" s="10"/>
      <c r="E194" s="126"/>
      <c r="F194" s="77"/>
      <c r="G194" s="199"/>
      <c r="H194" s="77"/>
      <c r="I194" s="20"/>
    </row>
    <row r="195" spans="1:9" ht="20.100000000000001" customHeight="1" x14ac:dyDescent="0.25">
      <c r="A195" s="1"/>
      <c r="C195" s="15"/>
      <c r="D195" s="15"/>
      <c r="E195" s="1"/>
      <c r="F195" s="1"/>
      <c r="H195" s="1"/>
      <c r="I195" s="20"/>
    </row>
    <row r="196" spans="1:9" ht="20.100000000000001" customHeight="1" x14ac:dyDescent="0.25">
      <c r="A196" s="1"/>
      <c r="C196" s="15"/>
      <c r="D196" s="15"/>
      <c r="E196" s="1"/>
      <c r="F196" s="1"/>
      <c r="G196" s="136" t="s">
        <v>106</v>
      </c>
      <c r="H196" s="460">
        <v>42342</v>
      </c>
      <c r="I196" s="20"/>
    </row>
    <row r="197" spans="1:9" ht="20.100000000000001" customHeight="1" x14ac:dyDescent="0.25">
      <c r="A197" s="632" t="s">
        <v>105</v>
      </c>
      <c r="B197" s="633"/>
      <c r="C197" s="633"/>
      <c r="D197" s="633"/>
      <c r="E197" s="633"/>
      <c r="F197" s="634"/>
      <c r="G197" s="129"/>
      <c r="H197" s="112">
        <v>0</v>
      </c>
      <c r="I197" s="20"/>
    </row>
    <row r="198" spans="1:9" ht="20.100000000000001" customHeight="1" x14ac:dyDescent="0.25">
      <c r="A198" s="9" t="s">
        <v>3</v>
      </c>
      <c r="B198" s="9" t="s">
        <v>1</v>
      </c>
      <c r="C198" s="13" t="s">
        <v>6</v>
      </c>
      <c r="D198" s="13"/>
      <c r="E198" s="5" t="s">
        <v>61</v>
      </c>
      <c r="F198" s="5" t="s">
        <v>60</v>
      </c>
      <c r="G198" s="16" t="s">
        <v>2</v>
      </c>
      <c r="H198" s="109">
        <v>0</v>
      </c>
      <c r="I198" s="20"/>
    </row>
    <row r="199" spans="1:9" ht="20.100000000000001" customHeight="1" x14ac:dyDescent="0.25">
      <c r="A199" s="77" t="s">
        <v>196</v>
      </c>
      <c r="B199" s="244">
        <v>42327</v>
      </c>
      <c r="C199" s="520"/>
      <c r="D199" s="520"/>
      <c r="E199" s="520" t="s">
        <v>207</v>
      </c>
      <c r="F199" s="513" t="s">
        <v>455</v>
      </c>
      <c r="G199" s="514">
        <v>49</v>
      </c>
      <c r="H199" s="516">
        <f>H198-G199</f>
        <v>-49</v>
      </c>
      <c r="I199" s="20"/>
    </row>
    <row r="200" spans="1:9" ht="20.100000000000001" customHeight="1" x14ac:dyDescent="0.25">
      <c r="A200" s="77" t="s">
        <v>196</v>
      </c>
      <c r="B200" s="244">
        <v>42327</v>
      </c>
      <c r="C200" s="519"/>
      <c r="D200" s="519"/>
      <c r="E200" s="519" t="s">
        <v>456</v>
      </c>
      <c r="F200" s="515" t="s">
        <v>457</v>
      </c>
      <c r="G200" s="514">
        <v>88</v>
      </c>
      <c r="H200" s="516">
        <f t="shared" ref="H200:H202" si="16">H199-G200</f>
        <v>-137</v>
      </c>
      <c r="I200" s="20"/>
    </row>
    <row r="201" spans="1:9" ht="20.100000000000001" customHeight="1" x14ac:dyDescent="0.25">
      <c r="A201" s="77" t="s">
        <v>196</v>
      </c>
      <c r="B201" s="244">
        <v>42327</v>
      </c>
      <c r="C201" s="519"/>
      <c r="D201" s="519"/>
      <c r="E201" s="519" t="s">
        <v>208</v>
      </c>
      <c r="F201" s="515" t="s">
        <v>458</v>
      </c>
      <c r="G201" s="514">
        <v>28</v>
      </c>
      <c r="H201" s="516">
        <f t="shared" si="16"/>
        <v>-165</v>
      </c>
      <c r="I201" s="20"/>
    </row>
    <row r="202" spans="1:9" ht="20.100000000000001" customHeight="1" x14ac:dyDescent="0.25">
      <c r="A202" s="77" t="s">
        <v>196</v>
      </c>
      <c r="B202" s="244"/>
      <c r="C202" s="520"/>
      <c r="D202" s="520"/>
      <c r="E202" s="520"/>
      <c r="F202" s="513" t="s">
        <v>459</v>
      </c>
      <c r="G202" s="514">
        <v>64.5</v>
      </c>
      <c r="H202" s="516">
        <f t="shared" si="16"/>
        <v>-229.5</v>
      </c>
      <c r="I202" s="20"/>
    </row>
    <row r="203" spans="1:9" ht="20.100000000000001" customHeight="1" x14ac:dyDescent="0.25">
      <c r="A203" s="671" t="s">
        <v>490</v>
      </c>
      <c r="B203" s="672"/>
      <c r="C203" s="672"/>
      <c r="D203" s="672"/>
      <c r="E203" s="672"/>
      <c r="F203" s="672"/>
      <c r="G203" s="532">
        <v>229.5</v>
      </c>
      <c r="H203" s="516">
        <f>H202+G203</f>
        <v>0</v>
      </c>
      <c r="I203" s="681" t="s">
        <v>491</v>
      </c>
    </row>
    <row r="204" spans="1:9" ht="20.100000000000001" customHeight="1" x14ac:dyDescent="0.25">
      <c r="A204" s="688" t="s">
        <v>492</v>
      </c>
      <c r="B204" s="689"/>
      <c r="C204" s="689"/>
      <c r="D204" s="689"/>
      <c r="E204" s="689"/>
      <c r="F204" s="689"/>
      <c r="G204" s="689"/>
      <c r="H204" s="690"/>
      <c r="I204" s="682"/>
    </row>
    <row r="205" spans="1:9" ht="20.100000000000001" customHeight="1" x14ac:dyDescent="0.25">
      <c r="A205" s="691"/>
      <c r="B205" s="692"/>
      <c r="C205" s="692"/>
      <c r="D205" s="692"/>
      <c r="E205" s="692"/>
      <c r="F205" s="692"/>
      <c r="G205" s="692"/>
      <c r="H205" s="693"/>
      <c r="I205" s="20"/>
    </row>
    <row r="206" spans="1:9" ht="20.100000000000001" customHeight="1" x14ac:dyDescent="0.25">
      <c r="A206" s="77"/>
      <c r="B206" s="239"/>
      <c r="C206" s="78"/>
      <c r="D206" s="78"/>
      <c r="E206" s="77"/>
      <c r="F206" s="344"/>
      <c r="G206" s="511"/>
      <c r="H206" s="345"/>
      <c r="I206" s="20"/>
    </row>
    <row r="207" spans="1:9" ht="20.100000000000001" customHeight="1" x14ac:dyDescent="0.25">
      <c r="A207" s="77"/>
      <c r="B207" s="239"/>
      <c r="C207" s="10"/>
      <c r="D207" s="10"/>
      <c r="E207" s="126"/>
      <c r="F207" s="77"/>
      <c r="G207" s="511"/>
      <c r="H207" s="77"/>
      <c r="I207" s="20"/>
    </row>
    <row r="208" spans="1:9" ht="20.100000000000001" customHeight="1" x14ac:dyDescent="0.25">
      <c r="A208" s="1"/>
      <c r="C208" s="15"/>
      <c r="D208" s="15"/>
      <c r="E208" s="1"/>
      <c r="F208" s="1"/>
      <c r="H208" s="1"/>
      <c r="I208" s="20"/>
    </row>
    <row r="209" spans="1:9" ht="20.100000000000001" customHeight="1" x14ac:dyDescent="0.25">
      <c r="A209" s="1"/>
      <c r="C209" s="15"/>
      <c r="D209" s="15"/>
      <c r="E209" s="1"/>
      <c r="F209" s="1"/>
      <c r="H209" s="1"/>
      <c r="I209" s="20"/>
    </row>
    <row r="210" spans="1:9" ht="20.100000000000001" customHeight="1" x14ac:dyDescent="0.25">
      <c r="A210" s="1"/>
      <c r="C210" s="15"/>
      <c r="D210" s="15"/>
      <c r="E210" s="1"/>
      <c r="F210" s="1"/>
      <c r="G210" s="136" t="s">
        <v>106</v>
      </c>
      <c r="H210" s="460">
        <v>42396</v>
      </c>
      <c r="I210" s="20"/>
    </row>
    <row r="211" spans="1:9" ht="20.100000000000001" customHeight="1" x14ac:dyDescent="0.25">
      <c r="A211" s="632" t="s">
        <v>482</v>
      </c>
      <c r="B211" s="633"/>
      <c r="C211" s="633"/>
      <c r="D211" s="633"/>
      <c r="E211" s="633"/>
      <c r="F211" s="634"/>
      <c r="G211" s="129"/>
      <c r="H211" s="112">
        <v>465.23</v>
      </c>
      <c r="I211" s="20"/>
    </row>
    <row r="212" spans="1:9" ht="20.100000000000001" customHeight="1" x14ac:dyDescent="0.25">
      <c r="A212" s="9" t="s">
        <v>3</v>
      </c>
      <c r="B212" s="9" t="s">
        <v>1</v>
      </c>
      <c r="C212" s="13" t="s">
        <v>6</v>
      </c>
      <c r="D212" s="13"/>
      <c r="E212" s="5" t="s">
        <v>61</v>
      </c>
      <c r="F212" s="5" t="s">
        <v>60</v>
      </c>
      <c r="G212" s="16" t="s">
        <v>2</v>
      </c>
      <c r="H212" s="109">
        <v>465.23</v>
      </c>
      <c r="I212" s="20"/>
    </row>
    <row r="213" spans="1:9" ht="20.100000000000001" customHeight="1" x14ac:dyDescent="0.25">
      <c r="A213" s="239" t="s">
        <v>196</v>
      </c>
      <c r="B213" s="344">
        <v>42380</v>
      </c>
      <c r="C213" s="520"/>
      <c r="D213" s="520"/>
      <c r="E213" s="520" t="s">
        <v>187</v>
      </c>
      <c r="F213" s="513" t="s">
        <v>502</v>
      </c>
      <c r="G213" s="514">
        <v>162.38</v>
      </c>
      <c r="H213" s="516">
        <f>H212-G213</f>
        <v>302.85000000000002</v>
      </c>
      <c r="I213" s="20"/>
    </row>
    <row r="214" spans="1:9" ht="20.100000000000001" customHeight="1" x14ac:dyDescent="0.25">
      <c r="A214" s="239" t="s">
        <v>196</v>
      </c>
      <c r="B214" s="344">
        <v>42380</v>
      </c>
      <c r="C214" s="519"/>
      <c r="D214" s="519"/>
      <c r="E214" s="519" t="s">
        <v>208</v>
      </c>
      <c r="F214" s="515" t="s">
        <v>503</v>
      </c>
      <c r="G214" s="514">
        <v>152.19999999999999</v>
      </c>
      <c r="H214" s="516">
        <f t="shared" ref="H214:H221" si="17">H213-G214</f>
        <v>150.65000000000003</v>
      </c>
      <c r="I214" s="20"/>
    </row>
    <row r="215" spans="1:9" ht="20.100000000000001" customHeight="1" x14ac:dyDescent="0.25">
      <c r="A215" s="77"/>
      <c r="B215" s="244"/>
      <c r="C215" s="519"/>
      <c r="D215" s="519"/>
      <c r="E215" s="519"/>
      <c r="F215" s="515"/>
      <c r="G215" s="514"/>
      <c r="H215" s="516">
        <f t="shared" si="17"/>
        <v>150.65000000000003</v>
      </c>
      <c r="I215" s="20"/>
    </row>
    <row r="216" spans="1:9" ht="20.100000000000001" customHeight="1" x14ac:dyDescent="0.25">
      <c r="A216" s="77"/>
      <c r="B216" s="244"/>
      <c r="C216" s="520"/>
      <c r="D216" s="520"/>
      <c r="E216" s="520"/>
      <c r="F216" s="513"/>
      <c r="G216" s="514"/>
      <c r="H216" s="516">
        <f t="shared" si="17"/>
        <v>150.65000000000003</v>
      </c>
      <c r="I216" s="20"/>
    </row>
    <row r="217" spans="1:9" ht="20.100000000000001" customHeight="1" x14ac:dyDescent="0.25">
      <c r="A217" s="77"/>
      <c r="B217" s="244"/>
      <c r="C217" s="521"/>
      <c r="D217" s="521"/>
      <c r="E217" s="521"/>
      <c r="F217" s="513"/>
      <c r="G217" s="514"/>
      <c r="H217" s="516">
        <f t="shared" si="17"/>
        <v>150.65000000000003</v>
      </c>
      <c r="I217" s="20"/>
    </row>
    <row r="218" spans="1:9" ht="20.100000000000001" customHeight="1" x14ac:dyDescent="0.25">
      <c r="A218" s="77"/>
      <c r="B218" s="244"/>
      <c r="C218" s="522"/>
      <c r="D218" s="522"/>
      <c r="E218" s="522"/>
      <c r="F218" s="517"/>
      <c r="G218" s="518"/>
      <c r="H218" s="516">
        <f t="shared" si="17"/>
        <v>150.65000000000003</v>
      </c>
      <c r="I218" s="20"/>
    </row>
    <row r="219" spans="1:9" ht="20.100000000000001" customHeight="1" x14ac:dyDescent="0.25">
      <c r="A219" s="77"/>
      <c r="B219" s="239"/>
      <c r="C219" s="78"/>
      <c r="D219" s="78"/>
      <c r="E219" s="77"/>
      <c r="F219" s="344"/>
      <c r="G219" s="530"/>
      <c r="H219" s="516">
        <f t="shared" si="17"/>
        <v>150.65000000000003</v>
      </c>
      <c r="I219" s="20"/>
    </row>
    <row r="220" spans="1:9" ht="20.100000000000001" customHeight="1" x14ac:dyDescent="0.25">
      <c r="A220" s="77"/>
      <c r="B220" s="239"/>
      <c r="C220" s="78"/>
      <c r="D220" s="78"/>
      <c r="E220" s="77"/>
      <c r="F220" s="344"/>
      <c r="G220" s="530"/>
      <c r="H220" s="516">
        <f t="shared" si="17"/>
        <v>150.65000000000003</v>
      </c>
      <c r="I220" s="20"/>
    </row>
    <row r="221" spans="1:9" ht="20.100000000000001" customHeight="1" x14ac:dyDescent="0.25">
      <c r="A221" s="77"/>
      <c r="B221" s="239"/>
      <c r="C221" s="10"/>
      <c r="D221" s="10"/>
      <c r="E221" s="126"/>
      <c r="F221" s="77"/>
      <c r="G221" s="530"/>
      <c r="H221" s="516">
        <f t="shared" si="17"/>
        <v>150.65000000000003</v>
      </c>
      <c r="I221" s="20"/>
    </row>
    <row r="222" spans="1:9" ht="20.100000000000001" customHeight="1" x14ac:dyDescent="0.25">
      <c r="A222" s="1"/>
      <c r="C222" s="15"/>
      <c r="D222" s="15"/>
      <c r="E222" s="1"/>
      <c r="F222" s="1"/>
      <c r="H222" s="1"/>
      <c r="I222" s="20"/>
    </row>
    <row r="223" spans="1:9" ht="20.100000000000001" customHeight="1" x14ac:dyDescent="0.25">
      <c r="A223" s="1"/>
      <c r="C223" s="15"/>
      <c r="D223" s="15"/>
      <c r="E223" s="1"/>
      <c r="F223" s="1"/>
      <c r="H223" s="1"/>
      <c r="I223" s="20"/>
    </row>
    <row r="224" spans="1:9" ht="20.100000000000001" customHeight="1" x14ac:dyDescent="0.25">
      <c r="A224" s="1"/>
      <c r="C224" s="15"/>
      <c r="D224" s="15"/>
      <c r="E224" s="1"/>
      <c r="F224" s="1"/>
      <c r="G224" s="136" t="s">
        <v>106</v>
      </c>
      <c r="H224" s="460">
        <v>42396</v>
      </c>
      <c r="I224" s="20"/>
    </row>
    <row r="225" spans="1:9" ht="20.100000000000001" customHeight="1" x14ac:dyDescent="0.25">
      <c r="A225" s="632" t="s">
        <v>494</v>
      </c>
      <c r="B225" s="633"/>
      <c r="C225" s="633"/>
      <c r="D225" s="633"/>
      <c r="E225" s="633"/>
      <c r="F225" s="634"/>
      <c r="G225" s="129"/>
      <c r="H225" s="112">
        <v>2534.7600000000002</v>
      </c>
      <c r="I225" s="20"/>
    </row>
    <row r="226" spans="1:9" ht="27" customHeight="1" x14ac:dyDescent="0.25">
      <c r="A226" s="9" t="s">
        <v>3</v>
      </c>
      <c r="B226" s="9" t="s">
        <v>1</v>
      </c>
      <c r="C226" s="13" t="s">
        <v>6</v>
      </c>
      <c r="D226" s="13"/>
      <c r="E226" s="5" t="s">
        <v>61</v>
      </c>
      <c r="F226" s="5" t="s">
        <v>60</v>
      </c>
      <c r="G226" s="16" t="s">
        <v>2</v>
      </c>
      <c r="H226" s="109">
        <v>2534.7600000000002</v>
      </c>
      <c r="I226" s="20"/>
    </row>
    <row r="227" spans="1:9" ht="20.100000000000001" customHeight="1" x14ac:dyDescent="0.25">
      <c r="A227" s="77" t="s">
        <v>434</v>
      </c>
      <c r="B227" s="244">
        <v>42362</v>
      </c>
      <c r="C227" s="520"/>
      <c r="D227" s="520"/>
      <c r="E227" s="520" t="s">
        <v>207</v>
      </c>
      <c r="F227" s="513" t="s">
        <v>499</v>
      </c>
      <c r="G227" s="514">
        <v>109.19</v>
      </c>
      <c r="H227" s="516">
        <f>H226-G227</f>
        <v>2425.5700000000002</v>
      </c>
      <c r="I227" s="20"/>
    </row>
    <row r="228" spans="1:9" ht="20.100000000000001" customHeight="1" x14ac:dyDescent="0.25">
      <c r="A228" s="77" t="s">
        <v>434</v>
      </c>
      <c r="B228" s="244">
        <v>42396</v>
      </c>
      <c r="C228" s="519"/>
      <c r="D228" s="519"/>
      <c r="E228" s="519" t="s">
        <v>208</v>
      </c>
      <c r="F228" s="515" t="s">
        <v>501</v>
      </c>
      <c r="G228" s="514">
        <v>325.83</v>
      </c>
      <c r="H228" s="516">
        <f t="shared" ref="H228:H241" si="18">H227-G228</f>
        <v>2099.7400000000002</v>
      </c>
      <c r="I228" s="20"/>
    </row>
    <row r="229" spans="1:9" ht="20.100000000000001" customHeight="1" x14ac:dyDescent="0.25">
      <c r="A229" s="77" t="s">
        <v>434</v>
      </c>
      <c r="B229" s="244">
        <v>42396</v>
      </c>
      <c r="C229" s="519"/>
      <c r="D229" s="519"/>
      <c r="E229" s="519" t="s">
        <v>208</v>
      </c>
      <c r="F229" s="515" t="s">
        <v>501</v>
      </c>
      <c r="G229" s="514">
        <v>45.6</v>
      </c>
      <c r="H229" s="516">
        <f t="shared" si="18"/>
        <v>2054.1400000000003</v>
      </c>
      <c r="I229" s="20"/>
    </row>
    <row r="230" spans="1:9" ht="20.100000000000001" customHeight="1" x14ac:dyDescent="0.25">
      <c r="A230" s="77" t="s">
        <v>434</v>
      </c>
      <c r="B230" s="244">
        <v>42396</v>
      </c>
      <c r="C230" s="519"/>
      <c r="D230" s="519"/>
      <c r="E230" s="519" t="s">
        <v>208</v>
      </c>
      <c r="F230" s="515" t="s">
        <v>501</v>
      </c>
      <c r="G230" s="514">
        <v>418.7</v>
      </c>
      <c r="H230" s="516">
        <f t="shared" si="18"/>
        <v>1635.4400000000003</v>
      </c>
      <c r="I230" s="20"/>
    </row>
    <row r="231" spans="1:9" ht="20.100000000000001" customHeight="1" x14ac:dyDescent="0.25">
      <c r="A231" s="77" t="s">
        <v>434</v>
      </c>
      <c r="B231" s="244">
        <v>42387</v>
      </c>
      <c r="C231" s="519"/>
      <c r="D231" s="519"/>
      <c r="E231" s="519" t="s">
        <v>208</v>
      </c>
      <c r="F231" s="515" t="s">
        <v>501</v>
      </c>
      <c r="G231" s="514">
        <v>63</v>
      </c>
      <c r="H231" s="516">
        <f t="shared" si="18"/>
        <v>1572.4400000000003</v>
      </c>
      <c r="I231" s="20"/>
    </row>
    <row r="232" spans="1:9" ht="20.100000000000001" customHeight="1" x14ac:dyDescent="0.25">
      <c r="A232" s="77" t="s">
        <v>434</v>
      </c>
      <c r="B232" s="244">
        <v>42384</v>
      </c>
      <c r="C232" s="519"/>
      <c r="D232" s="519"/>
      <c r="E232" s="519" t="s">
        <v>208</v>
      </c>
      <c r="F232" s="515" t="s">
        <v>501</v>
      </c>
      <c r="G232" s="514">
        <v>51.51</v>
      </c>
      <c r="H232" s="516">
        <f t="shared" si="18"/>
        <v>1520.9300000000003</v>
      </c>
      <c r="I232" s="20"/>
    </row>
    <row r="233" spans="1:9" ht="20.100000000000001" customHeight="1" x14ac:dyDescent="0.25">
      <c r="A233" s="77" t="s">
        <v>196</v>
      </c>
      <c r="B233" s="244">
        <v>42403</v>
      </c>
      <c r="C233" s="519"/>
      <c r="D233" s="519"/>
      <c r="E233" s="519" t="s">
        <v>208</v>
      </c>
      <c r="F233" s="515" t="s">
        <v>501</v>
      </c>
      <c r="G233" s="514">
        <v>78.77</v>
      </c>
      <c r="H233" s="516">
        <f t="shared" si="18"/>
        <v>1442.1600000000003</v>
      </c>
      <c r="I233" s="20"/>
    </row>
    <row r="234" spans="1:9" ht="20.100000000000001" customHeight="1" x14ac:dyDescent="0.25">
      <c r="A234" s="77" t="s">
        <v>196</v>
      </c>
      <c r="B234" s="244">
        <v>42398</v>
      </c>
      <c r="C234" s="519"/>
      <c r="D234" s="519"/>
      <c r="E234" s="519" t="s">
        <v>208</v>
      </c>
      <c r="F234" s="515" t="s">
        <v>501</v>
      </c>
      <c r="G234" s="514">
        <v>7.92</v>
      </c>
      <c r="H234" s="516">
        <f t="shared" si="18"/>
        <v>1434.2400000000002</v>
      </c>
      <c r="I234" s="20"/>
    </row>
    <row r="235" spans="1:9" ht="20.100000000000001" customHeight="1" x14ac:dyDescent="0.25">
      <c r="A235" s="77" t="s">
        <v>196</v>
      </c>
      <c r="B235" s="244">
        <v>42416</v>
      </c>
      <c r="C235" s="520"/>
      <c r="D235" s="520"/>
      <c r="E235" s="520" t="s">
        <v>328</v>
      </c>
      <c r="F235" s="513" t="s">
        <v>535</v>
      </c>
      <c r="G235" s="514">
        <v>239.2</v>
      </c>
      <c r="H235" s="516">
        <f t="shared" si="18"/>
        <v>1195.0400000000002</v>
      </c>
      <c r="I235" s="20"/>
    </row>
    <row r="236" spans="1:9" ht="20.100000000000001" customHeight="1" x14ac:dyDescent="0.25">
      <c r="A236" s="77" t="s">
        <v>196</v>
      </c>
      <c r="B236" s="239">
        <v>42423</v>
      </c>
      <c r="C236" s="78"/>
      <c r="D236" s="78"/>
      <c r="E236" s="77" t="s">
        <v>328</v>
      </c>
      <c r="F236" s="77" t="s">
        <v>540</v>
      </c>
      <c r="G236" s="392">
        <v>53.95</v>
      </c>
      <c r="H236" s="516">
        <f t="shared" si="18"/>
        <v>1141.0900000000001</v>
      </c>
      <c r="I236" s="20"/>
    </row>
    <row r="237" spans="1:9" ht="20.100000000000001" customHeight="1" x14ac:dyDescent="0.25">
      <c r="A237" s="77" t="s">
        <v>196</v>
      </c>
      <c r="B237" s="239">
        <v>42423</v>
      </c>
      <c r="C237" s="78"/>
      <c r="D237" s="78"/>
      <c r="E237" s="77" t="s">
        <v>328</v>
      </c>
      <c r="F237" s="77" t="s">
        <v>551</v>
      </c>
      <c r="G237" s="392">
        <v>53.05</v>
      </c>
      <c r="H237" s="516">
        <f t="shared" si="18"/>
        <v>1088.0400000000002</v>
      </c>
      <c r="I237" s="20"/>
    </row>
    <row r="238" spans="1:9" ht="20.100000000000001" customHeight="1" x14ac:dyDescent="0.25">
      <c r="A238" s="77" t="s">
        <v>196</v>
      </c>
      <c r="B238" s="239">
        <v>42425</v>
      </c>
      <c r="C238" s="78"/>
      <c r="D238" s="78"/>
      <c r="E238" s="77" t="s">
        <v>328</v>
      </c>
      <c r="F238" s="77" t="s">
        <v>550</v>
      </c>
      <c r="G238" s="392">
        <v>13</v>
      </c>
      <c r="H238" s="516">
        <f t="shared" si="18"/>
        <v>1075.0400000000002</v>
      </c>
      <c r="I238" s="20"/>
    </row>
    <row r="239" spans="1:9" ht="20.100000000000001" customHeight="1" x14ac:dyDescent="0.25">
      <c r="A239" s="77"/>
      <c r="B239" s="239"/>
      <c r="C239" s="78"/>
      <c r="D239" s="78"/>
      <c r="E239" s="77"/>
      <c r="F239" s="77"/>
      <c r="G239" s="392"/>
      <c r="H239" s="516">
        <f t="shared" si="18"/>
        <v>1075.0400000000002</v>
      </c>
      <c r="I239" s="20"/>
    </row>
    <row r="240" spans="1:9" ht="20.100000000000001" customHeight="1" x14ac:dyDescent="0.25">
      <c r="A240" s="77"/>
      <c r="B240" s="239"/>
      <c r="C240" s="78"/>
      <c r="D240" s="78"/>
      <c r="E240" s="77"/>
      <c r="F240" s="77"/>
      <c r="G240" s="392"/>
      <c r="H240" s="516">
        <f t="shared" si="18"/>
        <v>1075.0400000000002</v>
      </c>
      <c r="I240" s="20"/>
    </row>
    <row r="241" spans="1:9" ht="20.100000000000001" customHeight="1" x14ac:dyDescent="0.25">
      <c r="A241" s="77"/>
      <c r="B241" s="239"/>
      <c r="C241" s="78"/>
      <c r="D241" s="78"/>
      <c r="E241" s="77"/>
      <c r="F241" s="77"/>
      <c r="G241" s="392"/>
      <c r="H241" s="516">
        <f t="shared" si="18"/>
        <v>1075.0400000000002</v>
      </c>
      <c r="I241" s="20"/>
    </row>
    <row r="242" spans="1:9" ht="20.100000000000001" customHeight="1" x14ac:dyDescent="0.25">
      <c r="A242" s="1"/>
      <c r="C242" s="15"/>
      <c r="D242" s="15"/>
      <c r="E242" s="1"/>
      <c r="F242" s="1"/>
      <c r="H242" s="1"/>
      <c r="I242" s="20"/>
    </row>
    <row r="243" spans="1:9" ht="20.100000000000001" customHeight="1" x14ac:dyDescent="0.25">
      <c r="A243" s="1"/>
      <c r="C243" s="15"/>
      <c r="D243" s="15"/>
      <c r="E243" s="1"/>
      <c r="F243" s="1"/>
      <c r="G243" s="136" t="s">
        <v>106</v>
      </c>
      <c r="H243" s="460">
        <v>42368</v>
      </c>
      <c r="I243" s="20"/>
    </row>
    <row r="244" spans="1:9" ht="20.100000000000001" customHeight="1" x14ac:dyDescent="0.25">
      <c r="A244" s="632" t="s">
        <v>495</v>
      </c>
      <c r="B244" s="633"/>
      <c r="C244" s="633"/>
      <c r="D244" s="633"/>
      <c r="E244" s="633"/>
      <c r="F244" s="634"/>
      <c r="G244" s="129"/>
      <c r="H244" s="112">
        <v>3999.99</v>
      </c>
      <c r="I244" s="20"/>
    </row>
    <row r="245" spans="1:9" ht="30" customHeight="1" x14ac:dyDescent="0.25">
      <c r="A245" s="9" t="s">
        <v>3</v>
      </c>
      <c r="B245" s="9" t="s">
        <v>1</v>
      </c>
      <c r="C245" s="13" t="s">
        <v>6</v>
      </c>
      <c r="D245" s="13"/>
      <c r="E245" s="5" t="s">
        <v>61</v>
      </c>
      <c r="F245" s="5" t="s">
        <v>60</v>
      </c>
      <c r="G245" s="16" t="s">
        <v>2</v>
      </c>
      <c r="H245" s="109">
        <v>3999.99</v>
      </c>
      <c r="I245" s="20"/>
    </row>
    <row r="246" spans="1:9" ht="20.100000000000001" customHeight="1" x14ac:dyDescent="0.25">
      <c r="A246" s="77"/>
      <c r="B246" s="244"/>
      <c r="C246" s="520"/>
      <c r="D246" s="520"/>
      <c r="E246" s="520"/>
      <c r="F246" s="513"/>
      <c r="G246" s="514"/>
      <c r="H246" s="516">
        <f>H245-G246</f>
        <v>3999.99</v>
      </c>
      <c r="I246" s="20"/>
    </row>
    <row r="247" spans="1:9" ht="20.100000000000001" customHeight="1" x14ac:dyDescent="0.25">
      <c r="A247" s="77"/>
      <c r="B247" s="244"/>
      <c r="C247" s="519"/>
      <c r="D247" s="519"/>
      <c r="E247" s="519"/>
      <c r="F247" s="515"/>
      <c r="G247" s="514"/>
      <c r="H247" s="516">
        <f t="shared" ref="H247:H249" si="19">H246-G247</f>
        <v>3999.99</v>
      </c>
      <c r="I247" s="20"/>
    </row>
    <row r="248" spans="1:9" ht="20.100000000000001" customHeight="1" x14ac:dyDescent="0.25">
      <c r="A248" s="77"/>
      <c r="B248" s="244"/>
      <c r="C248" s="519"/>
      <c r="D248" s="519"/>
      <c r="E248" s="519"/>
      <c r="F248" s="515"/>
      <c r="G248" s="514"/>
      <c r="H248" s="516">
        <f t="shared" si="19"/>
        <v>3999.99</v>
      </c>
      <c r="I248" s="20"/>
    </row>
    <row r="249" spans="1:9" ht="20.100000000000001" customHeight="1" x14ac:dyDescent="0.25">
      <c r="A249" s="77"/>
      <c r="B249" s="244"/>
      <c r="C249" s="520"/>
      <c r="D249" s="520"/>
      <c r="E249" s="520"/>
      <c r="F249" s="513"/>
      <c r="G249" s="514"/>
      <c r="H249" s="516">
        <f t="shared" si="19"/>
        <v>3999.99</v>
      </c>
      <c r="I249" s="20"/>
    </row>
    <row r="250" spans="1:9" ht="20.100000000000001" customHeight="1" x14ac:dyDescent="0.25">
      <c r="A250" s="1"/>
      <c r="C250" s="15"/>
      <c r="D250" s="15"/>
      <c r="E250" s="1"/>
      <c r="F250" s="1"/>
      <c r="H250" s="1"/>
      <c r="I250" s="20"/>
    </row>
    <row r="251" spans="1:9" ht="20.100000000000001" customHeight="1" x14ac:dyDescent="0.25">
      <c r="A251" s="1"/>
      <c r="C251" s="15"/>
      <c r="D251" s="15"/>
      <c r="E251" s="1"/>
      <c r="F251" s="1"/>
      <c r="G251" s="136" t="s">
        <v>106</v>
      </c>
      <c r="H251" s="460">
        <v>42396</v>
      </c>
      <c r="I251" s="20"/>
    </row>
    <row r="252" spans="1:9" ht="20.100000000000001" customHeight="1" x14ac:dyDescent="0.25">
      <c r="A252" s="632" t="s">
        <v>498</v>
      </c>
      <c r="B252" s="633"/>
      <c r="C252" s="633"/>
      <c r="D252" s="633"/>
      <c r="E252" s="633"/>
      <c r="F252" s="634"/>
      <c r="G252" s="129"/>
      <c r="H252" s="112">
        <v>2100</v>
      </c>
      <c r="I252" s="20"/>
    </row>
    <row r="253" spans="1:9" ht="20.100000000000001" customHeight="1" x14ac:dyDescent="0.25">
      <c r="A253" s="9" t="s">
        <v>3</v>
      </c>
      <c r="B253" s="9" t="s">
        <v>1</v>
      </c>
      <c r="C253" s="13" t="s">
        <v>6</v>
      </c>
      <c r="D253" s="13"/>
      <c r="E253" s="5" t="s">
        <v>61</v>
      </c>
      <c r="F253" s="5" t="s">
        <v>60</v>
      </c>
      <c r="G253" s="16" t="s">
        <v>2</v>
      </c>
      <c r="H253" s="109">
        <v>2100</v>
      </c>
      <c r="I253" s="20"/>
    </row>
    <row r="254" spans="1:9" ht="29.25" customHeight="1" x14ac:dyDescent="0.25">
      <c r="A254" s="77" t="s">
        <v>196</v>
      </c>
      <c r="B254" s="244">
        <v>42380</v>
      </c>
      <c r="C254" s="520"/>
      <c r="D254" s="520"/>
      <c r="E254" s="520" t="s">
        <v>208</v>
      </c>
      <c r="F254" s="513" t="s">
        <v>504</v>
      </c>
      <c r="G254" s="514">
        <v>250</v>
      </c>
      <c r="H254" s="516">
        <f>H253-G254</f>
        <v>1850</v>
      </c>
      <c r="I254" s="20"/>
    </row>
    <row r="255" spans="1:9" ht="29.25" customHeight="1" x14ac:dyDescent="0.25">
      <c r="A255" s="77" t="s">
        <v>196</v>
      </c>
      <c r="B255" s="244">
        <v>42385</v>
      </c>
      <c r="C255" s="519"/>
      <c r="D255" s="519"/>
      <c r="E255" s="519" t="s">
        <v>187</v>
      </c>
      <c r="F255" s="513" t="s">
        <v>504</v>
      </c>
      <c r="G255" s="514">
        <v>100</v>
      </c>
      <c r="H255" s="516">
        <f t="shared" ref="H255:H257" si="20">H254-G255</f>
        <v>1750</v>
      </c>
      <c r="I255" s="20"/>
    </row>
    <row r="256" spans="1:9" ht="29.25" customHeight="1" x14ac:dyDescent="0.25">
      <c r="A256" s="77" t="s">
        <v>196</v>
      </c>
      <c r="B256" s="244">
        <v>42387</v>
      </c>
      <c r="C256" s="519"/>
      <c r="D256" s="519"/>
      <c r="E256" s="519" t="s">
        <v>207</v>
      </c>
      <c r="F256" s="513" t="s">
        <v>504</v>
      </c>
      <c r="G256" s="514"/>
      <c r="H256" s="516">
        <f t="shared" si="20"/>
        <v>1750</v>
      </c>
      <c r="I256" s="20"/>
    </row>
    <row r="257" spans="1:9" ht="29.25" customHeight="1" x14ac:dyDescent="0.25">
      <c r="A257" s="77" t="s">
        <v>196</v>
      </c>
      <c r="B257" s="244">
        <v>42387</v>
      </c>
      <c r="C257" s="520"/>
      <c r="D257" s="520"/>
      <c r="E257" s="520" t="s">
        <v>505</v>
      </c>
      <c r="F257" s="513" t="s">
        <v>506</v>
      </c>
      <c r="G257" s="514">
        <v>30</v>
      </c>
      <c r="H257" s="516">
        <f t="shared" si="20"/>
        <v>1720</v>
      </c>
      <c r="I257" s="20"/>
    </row>
    <row r="258" spans="1:9" ht="20.100000000000001" customHeight="1" x14ac:dyDescent="0.25">
      <c r="A258" s="1"/>
      <c r="C258" s="15"/>
      <c r="D258" s="15"/>
      <c r="E258" s="1"/>
      <c r="F258" s="1"/>
      <c r="H258" s="1"/>
      <c r="I258" s="20"/>
    </row>
    <row r="259" spans="1:9" ht="20.100000000000001" customHeight="1" x14ac:dyDescent="0.25">
      <c r="A259" s="1"/>
      <c r="C259" s="15"/>
      <c r="D259" s="15"/>
      <c r="E259" s="1"/>
      <c r="F259" s="1"/>
      <c r="G259" s="136" t="s">
        <v>106</v>
      </c>
      <c r="H259" s="460">
        <v>42436</v>
      </c>
      <c r="I259" s="20"/>
    </row>
    <row r="260" spans="1:9" ht="42.75" customHeight="1" x14ac:dyDescent="0.25">
      <c r="A260" s="632" t="s">
        <v>513</v>
      </c>
      <c r="B260" s="633"/>
      <c r="C260" s="633"/>
      <c r="D260" s="633"/>
      <c r="E260" s="633"/>
      <c r="F260" s="634"/>
      <c r="G260" s="129"/>
      <c r="H260" s="112">
        <v>953</v>
      </c>
      <c r="I260" s="20"/>
    </row>
    <row r="261" spans="1:9" ht="42.75" customHeight="1" x14ac:dyDescent="0.25">
      <c r="A261" s="9" t="s">
        <v>3</v>
      </c>
      <c r="B261" s="9" t="s">
        <v>1</v>
      </c>
      <c r="C261" s="13" t="s">
        <v>6</v>
      </c>
      <c r="D261" s="13"/>
      <c r="E261" s="5" t="s">
        <v>61</v>
      </c>
      <c r="F261" s="5" t="s">
        <v>60</v>
      </c>
      <c r="G261" s="16" t="s">
        <v>2</v>
      </c>
      <c r="H261" s="109">
        <v>953</v>
      </c>
      <c r="I261" s="20"/>
    </row>
    <row r="262" spans="1:9" ht="42.75" customHeight="1" x14ac:dyDescent="0.25">
      <c r="A262" s="77" t="s">
        <v>196</v>
      </c>
      <c r="B262" s="244">
        <v>42387</v>
      </c>
      <c r="C262" s="520"/>
      <c r="D262" s="520"/>
      <c r="E262" s="540" t="s">
        <v>206</v>
      </c>
      <c r="F262" s="513" t="s">
        <v>517</v>
      </c>
      <c r="G262" s="514">
        <v>470</v>
      </c>
      <c r="H262" s="109">
        <f>H261-G262</f>
        <v>483</v>
      </c>
      <c r="I262" s="20"/>
    </row>
    <row r="263" spans="1:9" ht="42.75" customHeight="1" x14ac:dyDescent="0.25">
      <c r="A263" s="77" t="s">
        <v>196</v>
      </c>
      <c r="B263" s="244">
        <v>42387</v>
      </c>
      <c r="C263" s="519"/>
      <c r="D263" s="519"/>
      <c r="E263" s="540" t="s">
        <v>187</v>
      </c>
      <c r="F263" s="513" t="s">
        <v>516</v>
      </c>
      <c r="G263" s="514">
        <v>360</v>
      </c>
      <c r="H263" s="109">
        <f t="shared" ref="H263:H267" si="21">H262-G263</f>
        <v>123</v>
      </c>
      <c r="I263" s="20"/>
    </row>
    <row r="264" spans="1:9" ht="42.75" customHeight="1" x14ac:dyDescent="0.25">
      <c r="A264" s="77" t="s">
        <v>196</v>
      </c>
      <c r="B264" s="244">
        <v>42387</v>
      </c>
      <c r="C264" s="519"/>
      <c r="D264" s="519"/>
      <c r="E264" s="540" t="s">
        <v>207</v>
      </c>
      <c r="F264" s="513" t="s">
        <v>547</v>
      </c>
      <c r="G264" s="514">
        <v>190</v>
      </c>
      <c r="H264" s="109">
        <f t="shared" si="21"/>
        <v>-67</v>
      </c>
      <c r="I264" s="20"/>
    </row>
    <row r="265" spans="1:9" ht="42.75" customHeight="1" x14ac:dyDescent="0.25">
      <c r="A265" s="77" t="s">
        <v>196</v>
      </c>
      <c r="B265" s="244">
        <v>42387</v>
      </c>
      <c r="C265" s="520"/>
      <c r="D265" s="520"/>
      <c r="E265" s="540" t="s">
        <v>208</v>
      </c>
      <c r="F265" s="513" t="s">
        <v>515</v>
      </c>
      <c r="G265" s="514">
        <v>660</v>
      </c>
      <c r="H265" s="109">
        <f t="shared" si="21"/>
        <v>-727</v>
      </c>
      <c r="I265" s="20"/>
    </row>
    <row r="266" spans="1:9" ht="42.75" customHeight="1" x14ac:dyDescent="0.25">
      <c r="A266" s="77" t="s">
        <v>196</v>
      </c>
      <c r="B266" s="244">
        <v>42387</v>
      </c>
      <c r="C266" s="520"/>
      <c r="D266" s="520"/>
      <c r="E266" s="540" t="s">
        <v>209</v>
      </c>
      <c r="F266" s="513" t="s">
        <v>514</v>
      </c>
      <c r="G266" s="514">
        <v>180</v>
      </c>
      <c r="H266" s="539">
        <f t="shared" si="21"/>
        <v>-907</v>
      </c>
      <c r="I266" s="20"/>
    </row>
    <row r="267" spans="1:9" ht="20.100000000000001" customHeight="1" x14ac:dyDescent="0.25">
      <c r="A267" s="77" t="s">
        <v>196</v>
      </c>
      <c r="B267" s="239">
        <v>42387</v>
      </c>
      <c r="C267" s="78"/>
      <c r="D267" s="78"/>
      <c r="E267" s="486" t="s">
        <v>545</v>
      </c>
      <c r="F267" s="486" t="s">
        <v>546</v>
      </c>
      <c r="G267" s="605">
        <f>160+60+320</f>
        <v>540</v>
      </c>
      <c r="H267" s="539">
        <f t="shared" si="21"/>
        <v>-1447</v>
      </c>
      <c r="I267" s="20"/>
    </row>
    <row r="268" spans="1:9" ht="20.100000000000001" customHeight="1" x14ac:dyDescent="0.25">
      <c r="A268" s="77" t="s">
        <v>196</v>
      </c>
      <c r="B268" s="239">
        <v>42431</v>
      </c>
      <c r="C268" s="722" t="s">
        <v>548</v>
      </c>
      <c r="D268" s="722"/>
      <c r="E268" s="722"/>
      <c r="F268" s="722"/>
      <c r="G268" s="606"/>
      <c r="H268" s="110">
        <f>H267+1447</f>
        <v>0</v>
      </c>
      <c r="I268" s="20"/>
    </row>
    <row r="269" spans="1:9" ht="20.100000000000001" customHeight="1" x14ac:dyDescent="0.25">
      <c r="A269" s="1"/>
      <c r="C269" s="15"/>
      <c r="D269" s="15"/>
      <c r="E269" s="1"/>
      <c r="F269" s="1"/>
      <c r="H269" s="1"/>
      <c r="I269" s="20"/>
    </row>
    <row r="270" spans="1:9" ht="20.100000000000001" customHeight="1" x14ac:dyDescent="0.25">
      <c r="A270" s="1"/>
      <c r="C270" s="15"/>
      <c r="D270" s="15"/>
      <c r="E270" s="453"/>
      <c r="F270" s="1"/>
      <c r="H270" s="1"/>
      <c r="I270" s="20"/>
    </row>
    <row r="271" spans="1:9" ht="20.100000000000001" customHeight="1" x14ac:dyDescent="0.25">
      <c r="A271" s="1"/>
      <c r="C271" s="15"/>
      <c r="D271" s="15"/>
      <c r="E271" s="1"/>
      <c r="F271" s="1"/>
      <c r="H271" s="1"/>
      <c r="I271" s="20"/>
    </row>
    <row r="272" spans="1:9" ht="20.100000000000001" customHeight="1" x14ac:dyDescent="0.25">
      <c r="A272" s="1"/>
      <c r="C272" s="15"/>
      <c r="D272" s="15"/>
      <c r="E272" s="1"/>
      <c r="F272" s="1"/>
      <c r="H272" s="1"/>
      <c r="I272" s="20"/>
    </row>
    <row r="273" spans="1:9" ht="20.100000000000001" customHeight="1" x14ac:dyDescent="0.25">
      <c r="A273" s="1"/>
      <c r="C273" s="15"/>
      <c r="D273" s="15"/>
      <c r="E273" s="1"/>
      <c r="F273" s="1"/>
      <c r="H273" s="1"/>
      <c r="I273" s="20"/>
    </row>
    <row r="274" spans="1:9" ht="20.100000000000001" customHeight="1" x14ac:dyDescent="0.25">
      <c r="A274" s="1"/>
      <c r="C274" s="15"/>
      <c r="D274" s="15"/>
      <c r="E274" s="1"/>
      <c r="F274" s="1"/>
      <c r="H274" s="1"/>
      <c r="I274" s="20"/>
    </row>
    <row r="275" spans="1:9" ht="20.100000000000001" customHeight="1" x14ac:dyDescent="0.25">
      <c r="A275" s="1"/>
      <c r="C275" s="15"/>
      <c r="D275" s="15"/>
      <c r="E275" s="1"/>
      <c r="F275" s="1"/>
      <c r="H275" s="1"/>
      <c r="I275" s="20"/>
    </row>
    <row r="276" spans="1:9" ht="20.100000000000001" customHeight="1" x14ac:dyDescent="0.25">
      <c r="A276" s="1"/>
      <c r="C276" s="15"/>
      <c r="D276" s="15"/>
      <c r="E276" s="1"/>
      <c r="F276" s="1"/>
      <c r="H276" s="1"/>
      <c r="I276" s="20"/>
    </row>
    <row r="277" spans="1:9" ht="20.100000000000001" customHeight="1" x14ac:dyDescent="0.25">
      <c r="A277" s="1"/>
      <c r="C277" s="15"/>
      <c r="D277" s="15"/>
      <c r="E277" s="1"/>
      <c r="F277" s="1"/>
      <c r="H277" s="1"/>
      <c r="I277" s="20"/>
    </row>
    <row r="278" spans="1:9" ht="20.100000000000001" customHeight="1" x14ac:dyDescent="0.25">
      <c r="A278" s="1"/>
      <c r="C278" s="15"/>
      <c r="D278" s="15"/>
      <c r="E278" s="1"/>
      <c r="F278" s="1"/>
      <c r="H278" s="1"/>
      <c r="I278" s="20"/>
    </row>
    <row r="279" spans="1:9" ht="20.100000000000001" customHeight="1" x14ac:dyDescent="0.25">
      <c r="A279" s="1"/>
      <c r="C279" s="15"/>
      <c r="D279" s="15"/>
      <c r="E279" s="1"/>
      <c r="F279" s="1"/>
      <c r="H279" s="1"/>
      <c r="I279" s="20"/>
    </row>
    <row r="280" spans="1:9" ht="20.100000000000001" customHeight="1" x14ac:dyDescent="0.25">
      <c r="A280" s="1"/>
      <c r="C280" s="15"/>
      <c r="D280" s="15"/>
      <c r="E280" s="1"/>
      <c r="F280" s="1"/>
      <c r="H280" s="1"/>
      <c r="I280" s="20"/>
    </row>
    <row r="281" spans="1:9" ht="20.100000000000001" customHeight="1" x14ac:dyDescent="0.25">
      <c r="A281" s="1"/>
      <c r="C281" s="15"/>
      <c r="D281" s="15"/>
      <c r="E281" s="1"/>
      <c r="F281" s="1"/>
      <c r="H281" s="1"/>
      <c r="I281" s="20"/>
    </row>
    <row r="282" spans="1:9" ht="20.100000000000001" customHeight="1" x14ac:dyDescent="0.25">
      <c r="A282" s="1"/>
      <c r="C282" s="15"/>
      <c r="D282" s="15"/>
      <c r="E282" s="1"/>
      <c r="F282" s="1"/>
      <c r="H282" s="1"/>
      <c r="I282" s="20"/>
    </row>
    <row r="283" spans="1:9" ht="20.100000000000001" customHeight="1" x14ac:dyDescent="0.25">
      <c r="A283" s="1"/>
      <c r="C283" s="15"/>
      <c r="D283" s="15"/>
      <c r="E283" s="1"/>
      <c r="F283" s="1"/>
      <c r="H283" s="1"/>
      <c r="I283" s="20"/>
    </row>
    <row r="284" spans="1:9" ht="20.100000000000001" customHeight="1" x14ac:dyDescent="0.25">
      <c r="A284" s="1"/>
      <c r="C284" s="15"/>
      <c r="D284" s="15"/>
      <c r="E284" s="1"/>
      <c r="F284" s="1"/>
      <c r="H284" s="1"/>
      <c r="I284" s="20"/>
    </row>
    <row r="285" spans="1:9" ht="20.100000000000001" customHeight="1" x14ac:dyDescent="0.25">
      <c r="A285" s="1"/>
      <c r="C285" s="15"/>
      <c r="D285" s="15"/>
      <c r="E285" s="1"/>
      <c r="F285" s="1"/>
      <c r="H285" s="1"/>
      <c r="I285" s="20"/>
    </row>
    <row r="286" spans="1:9" ht="20.100000000000001" customHeight="1" x14ac:dyDescent="0.25">
      <c r="A286" s="1"/>
      <c r="C286" s="15"/>
      <c r="D286" s="15"/>
      <c r="E286" s="1"/>
      <c r="F286" s="1"/>
      <c r="H286" s="1"/>
      <c r="I286" s="20"/>
    </row>
    <row r="287" spans="1:9" ht="20.100000000000001" customHeight="1" x14ac:dyDescent="0.25">
      <c r="A287" s="1"/>
      <c r="C287" s="15"/>
      <c r="D287" s="15"/>
      <c r="E287" s="1"/>
      <c r="F287" s="1"/>
      <c r="H287" s="1"/>
      <c r="I287" s="20"/>
    </row>
    <row r="288" spans="1:9" ht="20.100000000000001" customHeight="1" x14ac:dyDescent="0.25">
      <c r="A288" s="1"/>
      <c r="C288" s="15"/>
      <c r="D288" s="15"/>
      <c r="E288" s="1"/>
      <c r="F288" s="1"/>
      <c r="H288" s="1"/>
      <c r="I288" s="20"/>
    </row>
    <row r="289" spans="1:9" ht="20.100000000000001" customHeight="1" x14ac:dyDescent="0.25">
      <c r="A289" s="1"/>
      <c r="C289" s="15"/>
      <c r="D289" s="15"/>
      <c r="E289" s="1"/>
      <c r="F289" s="1"/>
      <c r="H289" s="1"/>
      <c r="I289" s="20"/>
    </row>
    <row r="290" spans="1:9" ht="20.100000000000001" customHeight="1" x14ac:dyDescent="0.25">
      <c r="A290" s="1"/>
      <c r="C290" s="15"/>
      <c r="D290" s="15"/>
      <c r="E290" s="1"/>
      <c r="F290" s="1"/>
      <c r="H290" s="1"/>
      <c r="I290" s="20"/>
    </row>
    <row r="291" spans="1:9" ht="20.100000000000001" customHeight="1" x14ac:dyDescent="0.25">
      <c r="A291" s="1"/>
      <c r="C291" s="15"/>
      <c r="D291" s="15"/>
      <c r="E291" s="1"/>
      <c r="F291" s="1"/>
      <c r="H291" s="1"/>
      <c r="I291" s="20"/>
    </row>
    <row r="292" spans="1:9" ht="20.100000000000001" customHeight="1" x14ac:dyDescent="0.25">
      <c r="A292" s="1"/>
      <c r="C292" s="15"/>
      <c r="D292" s="15"/>
      <c r="E292" s="1"/>
      <c r="F292" s="1"/>
      <c r="H292" s="1"/>
      <c r="I292" s="20"/>
    </row>
    <row r="293" spans="1:9" ht="20.100000000000001" customHeight="1" x14ac:dyDescent="0.25">
      <c r="A293" s="1"/>
      <c r="C293" s="15"/>
      <c r="D293" s="15"/>
      <c r="E293" s="1"/>
      <c r="F293" s="1"/>
      <c r="H293" s="1"/>
      <c r="I293" s="20"/>
    </row>
    <row r="294" spans="1:9" ht="20.100000000000001" customHeight="1" x14ac:dyDescent="0.25">
      <c r="A294" s="1"/>
      <c r="C294" s="15"/>
      <c r="D294" s="15"/>
      <c r="E294" s="1"/>
      <c r="F294" s="1"/>
      <c r="H294" s="1"/>
      <c r="I294" s="20"/>
    </row>
    <row r="295" spans="1:9" ht="20.100000000000001" customHeight="1" x14ac:dyDescent="0.25">
      <c r="A295" s="1"/>
      <c r="C295" s="15"/>
      <c r="D295" s="15"/>
      <c r="E295" s="1"/>
      <c r="F295" s="1"/>
      <c r="H295" s="1"/>
      <c r="I295" s="20"/>
    </row>
    <row r="296" spans="1:9" ht="20.100000000000001" customHeight="1" x14ac:dyDescent="0.25">
      <c r="A296" s="1"/>
      <c r="C296" s="15"/>
      <c r="D296" s="15"/>
      <c r="E296" s="1"/>
      <c r="F296" s="1"/>
      <c r="H296" s="1"/>
      <c r="I296" s="20"/>
    </row>
    <row r="297" spans="1:9" ht="20.100000000000001" customHeight="1" x14ac:dyDescent="0.25">
      <c r="A297" s="1"/>
      <c r="C297" s="15"/>
      <c r="D297" s="15"/>
      <c r="E297" s="1"/>
      <c r="F297" s="1"/>
      <c r="H297" s="1"/>
      <c r="I297" s="20"/>
    </row>
    <row r="298" spans="1:9" ht="20.100000000000001" customHeight="1" x14ac:dyDescent="0.25">
      <c r="A298" s="1"/>
      <c r="C298" s="15"/>
      <c r="D298" s="15"/>
      <c r="E298" s="1"/>
      <c r="F298" s="1"/>
      <c r="H298" s="1"/>
      <c r="I298" s="20"/>
    </row>
    <row r="299" spans="1:9" ht="20.100000000000001" customHeight="1" x14ac:dyDescent="0.25">
      <c r="A299" s="1"/>
      <c r="C299" s="15"/>
      <c r="D299" s="15"/>
      <c r="E299" s="1"/>
      <c r="F299" s="1"/>
      <c r="H299" s="1"/>
      <c r="I299" s="20"/>
    </row>
    <row r="300" spans="1:9" ht="20.100000000000001" customHeight="1" x14ac:dyDescent="0.25">
      <c r="A300" s="1"/>
      <c r="C300" s="15"/>
      <c r="D300" s="15"/>
      <c r="E300" s="1"/>
      <c r="F300" s="1"/>
      <c r="H300" s="1"/>
      <c r="I300" s="20"/>
    </row>
    <row r="301" spans="1:9" ht="20.100000000000001" customHeight="1" x14ac:dyDescent="0.25">
      <c r="A301" s="1"/>
      <c r="C301" s="15"/>
      <c r="D301" s="15"/>
      <c r="E301" s="1"/>
      <c r="F301" s="1"/>
      <c r="H301" s="1"/>
      <c r="I301" s="20"/>
    </row>
    <row r="302" spans="1:9" ht="20.100000000000001" customHeight="1" x14ac:dyDescent="0.25">
      <c r="A302" s="1"/>
      <c r="C302" s="15"/>
      <c r="D302" s="15"/>
      <c r="E302" s="1"/>
      <c r="F302" s="1"/>
      <c r="H302" s="1"/>
      <c r="I302" s="20"/>
    </row>
    <row r="303" spans="1:9" ht="20.100000000000001" customHeight="1" x14ac:dyDescent="0.25">
      <c r="A303" s="1"/>
      <c r="C303" s="15"/>
      <c r="D303" s="15"/>
      <c r="E303" s="1"/>
      <c r="F303" s="1"/>
      <c r="H303" s="1"/>
      <c r="I303" s="20"/>
    </row>
    <row r="304" spans="1:9" ht="20.100000000000001" customHeight="1" x14ac:dyDescent="0.25">
      <c r="A304" s="1"/>
      <c r="C304" s="15"/>
      <c r="D304" s="15"/>
      <c r="E304" s="1"/>
      <c r="F304" s="1"/>
      <c r="H304" s="1"/>
      <c r="I304" s="20"/>
    </row>
    <row r="305" spans="1:9" ht="20.100000000000001" customHeight="1" x14ac:dyDescent="0.25">
      <c r="A305" s="1"/>
      <c r="C305" s="15"/>
      <c r="D305" s="15"/>
      <c r="E305" s="1"/>
      <c r="F305" s="1"/>
      <c r="H305" s="1"/>
      <c r="I305" s="20"/>
    </row>
    <row r="306" spans="1:9" ht="20.100000000000001" customHeight="1" x14ac:dyDescent="0.25">
      <c r="A306" s="1"/>
      <c r="C306" s="15"/>
      <c r="D306" s="15"/>
      <c r="E306" s="1"/>
      <c r="F306" s="1"/>
      <c r="H306" s="1"/>
      <c r="I306" s="20"/>
    </row>
    <row r="307" spans="1:9" ht="20.100000000000001" customHeight="1" x14ac:dyDescent="0.25">
      <c r="A307" s="1"/>
      <c r="C307" s="15"/>
      <c r="D307" s="15"/>
      <c r="E307" s="1"/>
      <c r="F307" s="1"/>
      <c r="H307" s="1"/>
      <c r="I307" s="20"/>
    </row>
    <row r="308" spans="1:9" ht="20.100000000000001" customHeight="1" x14ac:dyDescent="0.25">
      <c r="A308" s="1"/>
      <c r="C308" s="15"/>
      <c r="D308" s="15"/>
      <c r="E308" s="1"/>
      <c r="F308" s="1"/>
      <c r="H308" s="1"/>
      <c r="I308" s="20"/>
    </row>
    <row r="309" spans="1:9" ht="20.100000000000001" customHeight="1" x14ac:dyDescent="0.25">
      <c r="A309" s="1"/>
      <c r="C309" s="15"/>
      <c r="D309" s="15"/>
      <c r="E309" s="1"/>
      <c r="F309" s="1"/>
      <c r="H309" s="1"/>
      <c r="I309" s="20"/>
    </row>
    <row r="310" spans="1:9" ht="20.100000000000001" customHeight="1" x14ac:dyDescent="0.25">
      <c r="A310" s="1"/>
      <c r="C310" s="15"/>
      <c r="D310" s="15"/>
      <c r="E310" s="1"/>
      <c r="F310" s="1"/>
      <c r="H310" s="1"/>
      <c r="I310" s="20"/>
    </row>
    <row r="311" spans="1:9" ht="20.100000000000001" customHeight="1" x14ac:dyDescent="0.25">
      <c r="A311" s="1"/>
      <c r="C311" s="15"/>
      <c r="D311" s="15"/>
      <c r="E311" s="1"/>
      <c r="F311" s="1"/>
      <c r="H311" s="1"/>
      <c r="I311" s="20"/>
    </row>
    <row r="312" spans="1:9" ht="20.100000000000001" customHeight="1" x14ac:dyDescent="0.25">
      <c r="A312" s="1"/>
      <c r="C312" s="15"/>
      <c r="D312" s="15"/>
      <c r="E312" s="1"/>
      <c r="F312" s="1"/>
      <c r="H312" s="1"/>
      <c r="I312" s="20"/>
    </row>
    <row r="313" spans="1:9" ht="20.100000000000001" customHeight="1" x14ac:dyDescent="0.25">
      <c r="A313" s="1"/>
      <c r="C313" s="15"/>
      <c r="D313" s="15"/>
      <c r="E313" s="1"/>
      <c r="F313" s="1"/>
      <c r="H313" s="1"/>
      <c r="I313" s="20"/>
    </row>
    <row r="314" spans="1:9" ht="20.100000000000001" customHeight="1" x14ac:dyDescent="0.25">
      <c r="A314" s="1"/>
      <c r="C314" s="15"/>
      <c r="D314" s="15"/>
      <c r="E314" s="1"/>
      <c r="F314" s="1"/>
      <c r="H314" s="1"/>
      <c r="I314" s="20"/>
    </row>
    <row r="315" spans="1:9" ht="20.100000000000001" customHeight="1" x14ac:dyDescent="0.25">
      <c r="A315" s="1"/>
      <c r="C315" s="15"/>
      <c r="D315" s="15"/>
      <c r="E315" s="1"/>
      <c r="F315" s="1"/>
      <c r="H315" s="1"/>
      <c r="I315" s="20"/>
    </row>
    <row r="316" spans="1:9" ht="20.100000000000001" customHeight="1" x14ac:dyDescent="0.25">
      <c r="A316" s="1"/>
      <c r="C316" s="15"/>
      <c r="D316" s="15"/>
      <c r="E316" s="1"/>
      <c r="F316" s="1"/>
      <c r="H316" s="1"/>
      <c r="I316" s="20"/>
    </row>
    <row r="317" spans="1:9" ht="20.100000000000001" customHeight="1" x14ac:dyDescent="0.25">
      <c r="A317" s="1"/>
      <c r="C317" s="15"/>
      <c r="D317" s="15"/>
      <c r="E317" s="1"/>
      <c r="F317" s="1"/>
      <c r="H317" s="1"/>
      <c r="I317" s="20"/>
    </row>
    <row r="318" spans="1:9" ht="20.100000000000001" customHeight="1" x14ac:dyDescent="0.25">
      <c r="A318" s="1"/>
      <c r="C318" s="15"/>
      <c r="D318" s="15"/>
      <c r="E318" s="1"/>
      <c r="F318" s="1"/>
      <c r="H318" s="1"/>
      <c r="I318" s="20"/>
    </row>
    <row r="319" spans="1:9" ht="20.100000000000001" customHeight="1" x14ac:dyDescent="0.25">
      <c r="A319" s="1"/>
      <c r="C319" s="15"/>
      <c r="D319" s="15"/>
      <c r="E319" s="1"/>
      <c r="F319" s="1"/>
      <c r="H319" s="1"/>
      <c r="I319" s="20"/>
    </row>
    <row r="320" spans="1:9" ht="20.100000000000001" customHeight="1" x14ac:dyDescent="0.25">
      <c r="A320" s="1"/>
      <c r="C320" s="15"/>
      <c r="D320" s="15"/>
      <c r="E320" s="1"/>
      <c r="F320" s="1"/>
      <c r="H320" s="1"/>
      <c r="I320" s="20"/>
    </row>
    <row r="321" spans="1:9" ht="20.100000000000001" customHeight="1" x14ac:dyDescent="0.25">
      <c r="A321" s="1"/>
      <c r="C321" s="15"/>
      <c r="D321" s="15"/>
      <c r="E321" s="1"/>
      <c r="F321" s="1"/>
      <c r="H321" s="1"/>
      <c r="I321" s="20"/>
    </row>
    <row r="322" spans="1:9" ht="20.100000000000001" customHeight="1" x14ac:dyDescent="0.25">
      <c r="A322" s="1"/>
      <c r="C322" s="15"/>
      <c r="D322" s="15"/>
      <c r="E322" s="1"/>
      <c r="F322" s="1"/>
      <c r="H322" s="1"/>
      <c r="I322" s="20"/>
    </row>
    <row r="323" spans="1:9" ht="20.100000000000001" customHeight="1" x14ac:dyDescent="0.25">
      <c r="A323" s="1"/>
      <c r="C323" s="15"/>
      <c r="D323" s="15"/>
      <c r="E323" s="1"/>
      <c r="F323" s="1"/>
      <c r="H323" s="1"/>
      <c r="I323" s="20"/>
    </row>
    <row r="324" spans="1:9" ht="20.100000000000001" customHeight="1" x14ac:dyDescent="0.25">
      <c r="A324" s="1"/>
      <c r="C324" s="15"/>
      <c r="D324" s="15"/>
      <c r="E324" s="1"/>
      <c r="F324" s="1"/>
      <c r="H324" s="1"/>
      <c r="I324" s="20"/>
    </row>
    <row r="325" spans="1:9" ht="20.100000000000001" customHeight="1" x14ac:dyDescent="0.25">
      <c r="A325" s="1"/>
      <c r="C325" s="15"/>
      <c r="D325" s="15"/>
      <c r="E325" s="1"/>
      <c r="F325" s="1"/>
      <c r="H325" s="1"/>
      <c r="I325" s="20"/>
    </row>
    <row r="326" spans="1:9" ht="20.100000000000001" customHeight="1" x14ac:dyDescent="0.25">
      <c r="A326" s="1"/>
      <c r="C326" s="15"/>
      <c r="D326" s="15"/>
      <c r="E326" s="1"/>
      <c r="F326" s="1"/>
      <c r="H326" s="1"/>
      <c r="I326" s="20"/>
    </row>
    <row r="327" spans="1:9" ht="20.100000000000001" customHeight="1" x14ac:dyDescent="0.25">
      <c r="A327" s="1"/>
      <c r="C327" s="15"/>
      <c r="D327" s="15"/>
      <c r="E327" s="1"/>
      <c r="F327" s="1"/>
      <c r="H327" s="1"/>
      <c r="I327" s="20"/>
    </row>
    <row r="328" spans="1:9" ht="20.100000000000001" customHeight="1" x14ac:dyDescent="0.25">
      <c r="A328" s="1"/>
      <c r="C328" s="15"/>
      <c r="D328" s="15"/>
      <c r="E328" s="1"/>
      <c r="F328" s="1"/>
      <c r="H328" s="1"/>
      <c r="I328" s="20"/>
    </row>
    <row r="329" spans="1:9" ht="20.100000000000001" customHeight="1" x14ac:dyDescent="0.25">
      <c r="A329" s="1"/>
      <c r="C329" s="15"/>
      <c r="D329" s="15"/>
      <c r="E329" s="1"/>
      <c r="F329" s="1"/>
      <c r="H329" s="1"/>
      <c r="I329" s="20"/>
    </row>
    <row r="330" spans="1:9" ht="20.100000000000001" customHeight="1" x14ac:dyDescent="0.25">
      <c r="A330" s="1"/>
      <c r="C330" s="15"/>
      <c r="D330" s="15"/>
      <c r="E330" s="1"/>
      <c r="F330" s="1"/>
      <c r="H330" s="1"/>
      <c r="I330" s="20"/>
    </row>
    <row r="331" spans="1:9" ht="20.100000000000001" customHeight="1" x14ac:dyDescent="0.25">
      <c r="A331" s="1"/>
      <c r="C331" s="15"/>
      <c r="D331" s="15"/>
      <c r="E331" s="1"/>
      <c r="F331" s="1"/>
      <c r="H331" s="1"/>
      <c r="I331" s="20"/>
    </row>
    <row r="332" spans="1:9" ht="20.100000000000001" customHeight="1" x14ac:dyDescent="0.25">
      <c r="A332" s="1"/>
      <c r="C332" s="15"/>
      <c r="D332" s="15"/>
      <c r="E332" s="1"/>
      <c r="F332" s="1"/>
      <c r="H332" s="1"/>
      <c r="I332" s="20"/>
    </row>
    <row r="333" spans="1:9" ht="20.100000000000001" customHeight="1" x14ac:dyDescent="0.25">
      <c r="A333" s="1"/>
      <c r="C333" s="15"/>
      <c r="D333" s="15"/>
      <c r="E333" s="1"/>
      <c r="F333" s="1"/>
      <c r="H333" s="1"/>
      <c r="I333" s="20"/>
    </row>
    <row r="334" spans="1:9" ht="20.100000000000001" customHeight="1" x14ac:dyDescent="0.25">
      <c r="A334" s="1"/>
      <c r="C334" s="15"/>
      <c r="D334" s="15"/>
      <c r="E334" s="1"/>
      <c r="F334" s="1"/>
      <c r="H334" s="1"/>
      <c r="I334" s="20"/>
    </row>
    <row r="335" spans="1:9" ht="20.100000000000001" customHeight="1" x14ac:dyDescent="0.25">
      <c r="A335" s="1"/>
      <c r="C335" s="15"/>
      <c r="D335" s="15"/>
      <c r="E335" s="1"/>
      <c r="F335" s="1"/>
      <c r="H335" s="1"/>
      <c r="I335" s="20"/>
    </row>
    <row r="336" spans="1:9" ht="20.100000000000001" customHeight="1" x14ac:dyDescent="0.25">
      <c r="A336" s="1"/>
      <c r="C336" s="15"/>
      <c r="D336" s="15"/>
      <c r="E336" s="1"/>
      <c r="F336" s="1"/>
      <c r="H336" s="1"/>
      <c r="I336" s="20"/>
    </row>
    <row r="337" spans="1:9" ht="20.100000000000001" customHeight="1" x14ac:dyDescent="0.25">
      <c r="A337" s="1"/>
      <c r="C337" s="15"/>
      <c r="D337" s="15"/>
      <c r="E337" s="1"/>
      <c r="F337" s="1"/>
      <c r="H337" s="1"/>
      <c r="I337" s="20"/>
    </row>
    <row r="338" spans="1:9" ht="20.100000000000001" customHeight="1" x14ac:dyDescent="0.25">
      <c r="A338" s="1"/>
      <c r="C338" s="15"/>
      <c r="D338" s="15"/>
      <c r="E338" s="1"/>
      <c r="F338" s="1"/>
      <c r="H338" s="1"/>
      <c r="I338" s="20"/>
    </row>
    <row r="339" spans="1:9" ht="20.100000000000001" customHeight="1" x14ac:dyDescent="0.25">
      <c r="A339" s="1"/>
      <c r="C339" s="15"/>
      <c r="D339" s="15"/>
      <c r="E339" s="1"/>
      <c r="F339" s="1"/>
      <c r="H339" s="1"/>
      <c r="I339" s="20"/>
    </row>
    <row r="340" spans="1:9" ht="20.100000000000001" customHeight="1" x14ac:dyDescent="0.25">
      <c r="A340" s="1"/>
      <c r="C340" s="15"/>
      <c r="D340" s="15"/>
      <c r="E340" s="1"/>
      <c r="F340" s="1"/>
      <c r="H340" s="1"/>
      <c r="I340" s="20"/>
    </row>
    <row r="341" spans="1:9" ht="20.100000000000001" customHeight="1" x14ac:dyDescent="0.25">
      <c r="A341" s="1"/>
      <c r="C341" s="15"/>
      <c r="D341" s="15"/>
      <c r="E341" s="1"/>
      <c r="F341" s="1"/>
      <c r="H341" s="1"/>
      <c r="I341" s="20"/>
    </row>
    <row r="342" spans="1:9" ht="20.100000000000001" customHeight="1" x14ac:dyDescent="0.25">
      <c r="A342" s="1"/>
      <c r="C342" s="15"/>
      <c r="D342" s="15"/>
      <c r="E342" s="1"/>
      <c r="F342" s="1"/>
      <c r="H342" s="1"/>
      <c r="I342" s="20"/>
    </row>
    <row r="343" spans="1:9" ht="20.100000000000001" customHeight="1" x14ac:dyDescent="0.25">
      <c r="A343" s="1"/>
      <c r="C343" s="15"/>
      <c r="D343" s="15"/>
      <c r="E343" s="1"/>
      <c r="F343" s="1"/>
      <c r="H343" s="1"/>
      <c r="I343" s="20"/>
    </row>
    <row r="344" spans="1:9" ht="20.100000000000001" customHeight="1" x14ac:dyDescent="0.25">
      <c r="A344" s="1"/>
      <c r="C344" s="15"/>
      <c r="D344" s="15"/>
      <c r="E344" s="1"/>
      <c r="F344" s="1"/>
      <c r="H344" s="1"/>
      <c r="I344" s="20"/>
    </row>
    <row r="345" spans="1:9" ht="20.100000000000001" customHeight="1" x14ac:dyDescent="0.25">
      <c r="A345" s="1"/>
      <c r="C345" s="15"/>
      <c r="D345" s="15"/>
      <c r="E345" s="1"/>
      <c r="F345" s="1"/>
      <c r="H345" s="1"/>
      <c r="I345" s="20"/>
    </row>
    <row r="346" spans="1:9" ht="20.100000000000001" customHeight="1" x14ac:dyDescent="0.25">
      <c r="A346" s="1"/>
      <c r="C346" s="15"/>
      <c r="D346" s="15"/>
      <c r="E346" s="1"/>
      <c r="F346" s="1"/>
      <c r="H346" s="1"/>
      <c r="I346" s="20"/>
    </row>
    <row r="347" spans="1:9" ht="20.100000000000001" customHeight="1" x14ac:dyDescent="0.25">
      <c r="A347" s="1"/>
      <c r="C347" s="15"/>
      <c r="D347" s="15"/>
      <c r="E347" s="1"/>
      <c r="F347" s="1"/>
      <c r="H347" s="1"/>
      <c r="I347" s="20"/>
    </row>
    <row r="348" spans="1:9" ht="20.100000000000001" customHeight="1" x14ac:dyDescent="0.25">
      <c r="A348" s="1"/>
      <c r="C348" s="15"/>
      <c r="D348" s="15"/>
      <c r="E348" s="1"/>
      <c r="F348" s="1"/>
      <c r="H348" s="1"/>
      <c r="I348" s="20"/>
    </row>
    <row r="349" spans="1:9" ht="20.100000000000001" customHeight="1" x14ac:dyDescent="0.25">
      <c r="A349" s="1"/>
      <c r="C349" s="15"/>
      <c r="D349" s="15"/>
      <c r="E349" s="1"/>
      <c r="F349" s="1"/>
      <c r="H349" s="1"/>
      <c r="I349" s="20"/>
    </row>
    <row r="350" spans="1:9" ht="20.100000000000001" customHeight="1" x14ac:dyDescent="0.25">
      <c r="A350" s="1"/>
      <c r="C350" s="15"/>
      <c r="D350" s="15"/>
      <c r="E350" s="1"/>
      <c r="F350" s="1"/>
      <c r="H350" s="1"/>
      <c r="I350" s="20"/>
    </row>
    <row r="351" spans="1:9" ht="20.100000000000001" customHeight="1" x14ac:dyDescent="0.25">
      <c r="A351" s="1"/>
      <c r="C351" s="15"/>
      <c r="D351" s="15"/>
      <c r="E351" s="1"/>
      <c r="F351" s="1"/>
      <c r="H351" s="1"/>
      <c r="I351" s="20"/>
    </row>
    <row r="352" spans="1:9" ht="20.100000000000001" customHeight="1" x14ac:dyDescent="0.25">
      <c r="A352" s="1"/>
      <c r="C352" s="15"/>
      <c r="D352" s="15"/>
      <c r="E352" s="1"/>
      <c r="F352" s="1"/>
      <c r="H352" s="1"/>
      <c r="I352" s="20"/>
    </row>
    <row r="353" spans="1:9" ht="20.100000000000001" customHeight="1" x14ac:dyDescent="0.25">
      <c r="A353" s="1"/>
      <c r="C353" s="15"/>
      <c r="D353" s="15"/>
      <c r="E353" s="1"/>
      <c r="F353" s="1"/>
      <c r="H353" s="1"/>
      <c r="I353" s="20"/>
    </row>
    <row r="354" spans="1:9" ht="20.100000000000001" customHeight="1" x14ac:dyDescent="0.25">
      <c r="A354" s="1"/>
      <c r="C354" s="15"/>
      <c r="D354" s="15"/>
      <c r="E354" s="1"/>
      <c r="F354" s="1"/>
      <c r="H354" s="1"/>
      <c r="I354" s="20"/>
    </row>
    <row r="355" spans="1:9" ht="20.100000000000001" customHeight="1" x14ac:dyDescent="0.25">
      <c r="A355" s="1"/>
      <c r="C355" s="15"/>
      <c r="D355" s="15"/>
      <c r="E355" s="1"/>
      <c r="F355" s="1"/>
      <c r="H355" s="1"/>
      <c r="I355" s="20"/>
    </row>
    <row r="356" spans="1:9" ht="20.100000000000001" customHeight="1" x14ac:dyDescent="0.25">
      <c r="A356" s="1"/>
      <c r="C356" s="15"/>
      <c r="D356" s="15"/>
      <c r="E356" s="1"/>
      <c r="F356" s="1"/>
      <c r="H356" s="1"/>
      <c r="I356" s="20"/>
    </row>
    <row r="357" spans="1:9" ht="20.100000000000001" customHeight="1" x14ac:dyDescent="0.25">
      <c r="A357" s="1"/>
      <c r="C357" s="15"/>
      <c r="D357" s="15"/>
      <c r="E357" s="1"/>
      <c r="F357" s="1"/>
      <c r="H357" s="1"/>
      <c r="I357" s="20"/>
    </row>
    <row r="358" spans="1:9" ht="20.100000000000001" customHeight="1" x14ac:dyDescent="0.25">
      <c r="A358" s="1"/>
      <c r="C358" s="15"/>
      <c r="D358" s="15"/>
      <c r="E358" s="1"/>
      <c r="F358" s="1"/>
      <c r="H358" s="1"/>
      <c r="I358" s="20"/>
    </row>
    <row r="359" spans="1:9" ht="20.100000000000001" customHeight="1" x14ac:dyDescent="0.25">
      <c r="A359" s="1"/>
      <c r="C359" s="15"/>
      <c r="D359" s="15"/>
      <c r="E359" s="1"/>
      <c r="F359" s="1"/>
      <c r="H359" s="1"/>
      <c r="I359" s="20"/>
    </row>
    <row r="360" spans="1:9" ht="20.100000000000001" customHeight="1" x14ac:dyDescent="0.25">
      <c r="A360" s="1"/>
      <c r="C360" s="15"/>
      <c r="D360" s="15"/>
      <c r="E360" s="1"/>
      <c r="F360" s="1"/>
      <c r="H360" s="1"/>
      <c r="I360" s="20"/>
    </row>
    <row r="361" spans="1:9" ht="20.100000000000001" customHeight="1" x14ac:dyDescent="0.25">
      <c r="A361" s="1"/>
      <c r="C361" s="15"/>
      <c r="D361" s="15"/>
      <c r="E361" s="1"/>
      <c r="F361" s="1"/>
      <c r="H361" s="1"/>
      <c r="I361" s="20"/>
    </row>
    <row r="362" spans="1:9" ht="20.100000000000001" customHeight="1" x14ac:dyDescent="0.25">
      <c r="A362" s="1"/>
      <c r="C362" s="15"/>
      <c r="D362" s="15"/>
      <c r="E362" s="1"/>
      <c r="F362" s="1"/>
      <c r="H362" s="1"/>
      <c r="I362" s="20"/>
    </row>
    <row r="363" spans="1:9" ht="20.100000000000001" customHeight="1" x14ac:dyDescent="0.25">
      <c r="A363" s="1"/>
      <c r="C363" s="15"/>
      <c r="D363" s="15"/>
      <c r="E363" s="1"/>
      <c r="F363" s="1"/>
      <c r="H363" s="1"/>
      <c r="I363" s="20"/>
    </row>
    <row r="364" spans="1:9" ht="20.100000000000001" customHeight="1" x14ac:dyDescent="0.25">
      <c r="A364" s="1"/>
      <c r="C364" s="15"/>
      <c r="D364" s="15"/>
      <c r="E364" s="1"/>
      <c r="F364" s="1"/>
      <c r="H364" s="1"/>
      <c r="I364" s="20"/>
    </row>
    <row r="365" spans="1:9" ht="20.100000000000001" customHeight="1" x14ac:dyDescent="0.25">
      <c r="A365" s="1"/>
      <c r="C365" s="15"/>
      <c r="D365" s="15"/>
      <c r="E365" s="1"/>
      <c r="F365" s="1"/>
      <c r="H365" s="1"/>
      <c r="I365" s="20"/>
    </row>
    <row r="366" spans="1:9" ht="20.100000000000001" customHeight="1" x14ac:dyDescent="0.25">
      <c r="A366" s="1"/>
      <c r="C366" s="15"/>
      <c r="D366" s="15"/>
      <c r="E366" s="1"/>
      <c r="F366" s="1"/>
      <c r="H366" s="1"/>
      <c r="I366" s="20"/>
    </row>
    <row r="367" spans="1:9" ht="20.100000000000001" customHeight="1" x14ac:dyDescent="0.25">
      <c r="A367" s="1"/>
      <c r="C367" s="15"/>
      <c r="D367" s="15"/>
      <c r="E367" s="1"/>
      <c r="F367" s="1"/>
      <c r="H367" s="1"/>
      <c r="I367" s="20"/>
    </row>
    <row r="368" spans="1:9" ht="20.100000000000001" customHeight="1" x14ac:dyDescent="0.25">
      <c r="A368" s="1"/>
      <c r="C368" s="15"/>
      <c r="D368" s="15"/>
      <c r="E368" s="1"/>
      <c r="F368" s="1"/>
      <c r="H368" s="1"/>
      <c r="I368" s="20"/>
    </row>
    <row r="369" spans="1:9" ht="20.100000000000001" customHeight="1" x14ac:dyDescent="0.25">
      <c r="A369" s="1"/>
      <c r="C369" s="15"/>
      <c r="D369" s="15"/>
      <c r="E369" s="1"/>
      <c r="F369" s="1"/>
      <c r="H369" s="1"/>
      <c r="I369" s="20"/>
    </row>
    <row r="370" spans="1:9" ht="20.100000000000001" customHeight="1" x14ac:dyDescent="0.25">
      <c r="A370" s="1"/>
      <c r="C370" s="15"/>
      <c r="D370" s="15"/>
      <c r="E370" s="1"/>
      <c r="F370" s="1"/>
      <c r="H370" s="1"/>
      <c r="I370" s="20"/>
    </row>
    <row r="371" spans="1:9" ht="20.100000000000001" customHeight="1" x14ac:dyDescent="0.25">
      <c r="A371" s="1"/>
      <c r="C371" s="15"/>
      <c r="D371" s="15"/>
      <c r="E371" s="1"/>
      <c r="F371" s="1"/>
      <c r="H371" s="1"/>
      <c r="I371" s="20"/>
    </row>
    <row r="372" spans="1:9" ht="20.100000000000001" customHeight="1" x14ac:dyDescent="0.25">
      <c r="A372" s="1"/>
      <c r="C372" s="15"/>
      <c r="D372" s="15"/>
      <c r="E372" s="1"/>
      <c r="F372" s="1"/>
      <c r="H372" s="1"/>
      <c r="I372" s="20"/>
    </row>
    <row r="373" spans="1:9" ht="20.100000000000001" customHeight="1" x14ac:dyDescent="0.25">
      <c r="A373" s="1"/>
      <c r="C373" s="15"/>
      <c r="D373" s="15"/>
      <c r="E373" s="1"/>
      <c r="F373" s="1"/>
      <c r="H373" s="1"/>
      <c r="I373" s="20"/>
    </row>
    <row r="374" spans="1:9" ht="20.100000000000001" customHeight="1" x14ac:dyDescent="0.25">
      <c r="A374" s="1"/>
      <c r="C374" s="15"/>
      <c r="D374" s="15"/>
      <c r="E374" s="1"/>
      <c r="F374" s="1"/>
      <c r="H374" s="1"/>
      <c r="I374" s="20"/>
    </row>
    <row r="375" spans="1:9" ht="20.100000000000001" customHeight="1" x14ac:dyDescent="0.25">
      <c r="A375" s="1"/>
      <c r="C375" s="15"/>
      <c r="D375" s="15"/>
      <c r="E375" s="1"/>
      <c r="F375" s="1"/>
      <c r="H375" s="1"/>
      <c r="I375" s="20"/>
    </row>
    <row r="376" spans="1:9" ht="20.100000000000001" customHeight="1" x14ac:dyDescent="0.25">
      <c r="A376" s="1"/>
      <c r="C376" s="15"/>
      <c r="D376" s="15"/>
      <c r="E376" s="1"/>
      <c r="F376" s="1"/>
      <c r="H376" s="1"/>
      <c r="I376" s="20"/>
    </row>
    <row r="377" spans="1:9" ht="20.100000000000001" customHeight="1" x14ac:dyDescent="0.25">
      <c r="A377" s="1"/>
      <c r="C377" s="15"/>
      <c r="D377" s="15"/>
      <c r="E377" s="1"/>
      <c r="F377" s="1"/>
      <c r="H377" s="1"/>
      <c r="I377" s="20"/>
    </row>
    <row r="378" spans="1:9" ht="20.100000000000001" customHeight="1" x14ac:dyDescent="0.25">
      <c r="A378" s="1"/>
      <c r="C378" s="15"/>
      <c r="D378" s="15"/>
      <c r="E378" s="1"/>
      <c r="F378" s="1"/>
      <c r="H378" s="1"/>
      <c r="I378" s="20"/>
    </row>
    <row r="379" spans="1:9" ht="20.100000000000001" customHeight="1" x14ac:dyDescent="0.25">
      <c r="A379" s="1"/>
      <c r="C379" s="15"/>
      <c r="D379" s="15"/>
      <c r="E379" s="1"/>
      <c r="F379" s="1"/>
      <c r="H379" s="1"/>
      <c r="I379" s="20"/>
    </row>
    <row r="380" spans="1:9" ht="20.100000000000001" customHeight="1" x14ac:dyDescent="0.25">
      <c r="A380" s="1"/>
      <c r="C380" s="15"/>
      <c r="D380" s="15"/>
      <c r="E380" s="1"/>
      <c r="F380" s="1"/>
      <c r="H380" s="1"/>
      <c r="I380" s="20"/>
    </row>
    <row r="381" spans="1:9" ht="20.100000000000001" customHeight="1" x14ac:dyDescent="0.25">
      <c r="A381" s="1"/>
      <c r="C381" s="15"/>
      <c r="D381" s="15"/>
      <c r="E381" s="1"/>
      <c r="F381" s="1"/>
      <c r="H381" s="1"/>
      <c r="I381" s="20"/>
    </row>
    <row r="382" spans="1:9" ht="20.100000000000001" customHeight="1" x14ac:dyDescent="0.25">
      <c r="A382" s="1"/>
      <c r="C382" s="15"/>
      <c r="D382" s="15"/>
      <c r="E382" s="1"/>
      <c r="F382" s="1"/>
      <c r="H382" s="1"/>
      <c r="I382" s="20"/>
    </row>
    <row r="383" spans="1:9" ht="20.100000000000001" customHeight="1" x14ac:dyDescent="0.25">
      <c r="A383" s="1"/>
      <c r="C383" s="15"/>
      <c r="D383" s="15"/>
      <c r="E383" s="1"/>
      <c r="F383" s="1"/>
      <c r="H383" s="1"/>
      <c r="I383" s="20"/>
    </row>
    <row r="384" spans="1:9" ht="20.100000000000001" customHeight="1" x14ac:dyDescent="0.25">
      <c r="A384" s="1"/>
      <c r="C384" s="15"/>
      <c r="D384" s="15"/>
      <c r="E384" s="1"/>
      <c r="F384" s="1"/>
      <c r="H384" s="1"/>
      <c r="I384" s="20"/>
    </row>
    <row r="385" spans="1:9" ht="20.100000000000001" customHeight="1" x14ac:dyDescent="0.25">
      <c r="A385" s="1"/>
      <c r="C385" s="15"/>
      <c r="D385" s="15"/>
      <c r="E385" s="1"/>
      <c r="F385" s="1"/>
      <c r="H385" s="1"/>
      <c r="I385" s="20"/>
    </row>
    <row r="386" spans="1:9" ht="20.100000000000001" customHeight="1" x14ac:dyDescent="0.25">
      <c r="A386" s="1"/>
      <c r="C386" s="15"/>
      <c r="D386" s="15"/>
      <c r="E386" s="1"/>
      <c r="F386" s="1"/>
      <c r="H386" s="1"/>
      <c r="I386" s="20"/>
    </row>
    <row r="387" spans="1:9" ht="20.100000000000001" customHeight="1" x14ac:dyDescent="0.25">
      <c r="A387" s="1"/>
      <c r="C387" s="15"/>
      <c r="D387" s="15"/>
      <c r="E387" s="1"/>
      <c r="F387" s="1"/>
      <c r="H387" s="1"/>
      <c r="I387" s="20"/>
    </row>
    <row r="388" spans="1:9" ht="20.100000000000001" customHeight="1" x14ac:dyDescent="0.25">
      <c r="A388" s="1"/>
      <c r="C388" s="15"/>
      <c r="D388" s="15"/>
      <c r="E388" s="1"/>
      <c r="F388" s="1"/>
      <c r="H388" s="1"/>
      <c r="I388" s="20"/>
    </row>
    <row r="389" spans="1:9" ht="20.100000000000001" customHeight="1" x14ac:dyDescent="0.25">
      <c r="A389" s="1"/>
      <c r="C389" s="15"/>
      <c r="D389" s="15"/>
      <c r="E389" s="1"/>
      <c r="F389" s="1"/>
      <c r="H389" s="1"/>
      <c r="I389" s="20"/>
    </row>
    <row r="390" spans="1:9" ht="20.100000000000001" customHeight="1" x14ac:dyDescent="0.25">
      <c r="A390" s="1"/>
      <c r="C390" s="15"/>
      <c r="D390" s="15"/>
      <c r="E390" s="1"/>
      <c r="F390" s="1"/>
      <c r="H390" s="1"/>
      <c r="I390" s="20"/>
    </row>
    <row r="391" spans="1:9" ht="20.100000000000001" customHeight="1" x14ac:dyDescent="0.25">
      <c r="A391" s="1"/>
      <c r="C391" s="15"/>
      <c r="D391" s="15"/>
      <c r="E391" s="1"/>
      <c r="F391" s="1"/>
      <c r="H391" s="1"/>
      <c r="I391" s="20"/>
    </row>
    <row r="392" spans="1:9" ht="20.100000000000001" customHeight="1" x14ac:dyDescent="0.25">
      <c r="A392" s="1"/>
      <c r="C392" s="15"/>
      <c r="D392" s="15"/>
      <c r="E392" s="1"/>
      <c r="F392" s="1"/>
      <c r="H392" s="1"/>
      <c r="I392" s="20"/>
    </row>
    <row r="393" spans="1:9" ht="20.100000000000001" customHeight="1" x14ac:dyDescent="0.25">
      <c r="A393" s="1"/>
      <c r="C393" s="15"/>
      <c r="D393" s="15"/>
      <c r="E393" s="1"/>
      <c r="F393" s="1"/>
      <c r="H393" s="1"/>
      <c r="I393" s="20"/>
    </row>
    <row r="394" spans="1:9" ht="20.100000000000001" customHeight="1" x14ac:dyDescent="0.25">
      <c r="A394" s="1"/>
      <c r="C394" s="15"/>
      <c r="D394" s="15"/>
      <c r="E394" s="1"/>
      <c r="F394" s="1"/>
      <c r="H394" s="1"/>
      <c r="I394" s="20"/>
    </row>
    <row r="395" spans="1:9" ht="20.100000000000001" customHeight="1" x14ac:dyDescent="0.25">
      <c r="A395" s="1"/>
      <c r="C395" s="15"/>
      <c r="D395" s="15"/>
      <c r="E395" s="1"/>
      <c r="F395" s="1"/>
      <c r="H395" s="1"/>
      <c r="I395" s="20"/>
    </row>
    <row r="396" spans="1:9" ht="20.100000000000001" customHeight="1" x14ac:dyDescent="0.25">
      <c r="A396" s="1"/>
      <c r="C396" s="15"/>
      <c r="D396" s="15"/>
      <c r="E396" s="1"/>
      <c r="F396" s="1"/>
      <c r="H396" s="1"/>
      <c r="I396" s="20"/>
    </row>
    <row r="397" spans="1:9" ht="20.100000000000001" customHeight="1" x14ac:dyDescent="0.25">
      <c r="A397" s="1"/>
      <c r="C397" s="15"/>
      <c r="D397" s="15"/>
      <c r="E397" s="1"/>
      <c r="F397" s="1"/>
      <c r="H397" s="1"/>
      <c r="I397" s="20"/>
    </row>
    <row r="398" spans="1:9" ht="20.100000000000001" customHeight="1" x14ac:dyDescent="0.25">
      <c r="A398" s="1"/>
      <c r="C398" s="15"/>
      <c r="D398" s="15"/>
      <c r="E398" s="1"/>
      <c r="F398" s="1"/>
      <c r="H398" s="1"/>
      <c r="I398" s="20"/>
    </row>
    <row r="399" spans="1:9" ht="20.100000000000001" customHeight="1" x14ac:dyDescent="0.25">
      <c r="A399" s="1"/>
      <c r="C399" s="15"/>
      <c r="D399" s="15"/>
      <c r="E399" s="1"/>
      <c r="F399" s="1"/>
      <c r="H399" s="1"/>
      <c r="I399" s="20"/>
    </row>
    <row r="400" spans="1:9" ht="20.100000000000001" customHeight="1" x14ac:dyDescent="0.25">
      <c r="A400" s="1"/>
      <c r="C400" s="15"/>
      <c r="D400" s="15"/>
      <c r="E400" s="1"/>
      <c r="F400" s="1"/>
      <c r="H400" s="1"/>
      <c r="I400" s="20"/>
    </row>
    <row r="401" spans="1:9" ht="20.100000000000001" customHeight="1" x14ac:dyDescent="0.25">
      <c r="A401" s="1"/>
      <c r="C401" s="15"/>
      <c r="D401" s="15"/>
      <c r="E401" s="1"/>
      <c r="F401" s="1"/>
      <c r="H401" s="1"/>
      <c r="I401" s="20"/>
    </row>
    <row r="402" spans="1:9" ht="20.100000000000001" customHeight="1" x14ac:dyDescent="0.25">
      <c r="A402" s="1"/>
      <c r="C402" s="15"/>
      <c r="D402" s="15"/>
      <c r="E402" s="1"/>
      <c r="F402" s="1"/>
      <c r="H402" s="1"/>
      <c r="I402" s="20"/>
    </row>
    <row r="403" spans="1:9" ht="20.100000000000001" customHeight="1" x14ac:dyDescent="0.25">
      <c r="A403" s="1"/>
      <c r="C403" s="15"/>
      <c r="D403" s="15"/>
      <c r="E403" s="1"/>
      <c r="F403" s="1"/>
      <c r="H403" s="1"/>
      <c r="I403" s="20"/>
    </row>
    <row r="404" spans="1:9" ht="20.100000000000001" customHeight="1" x14ac:dyDescent="0.25">
      <c r="A404" s="1"/>
      <c r="C404" s="15"/>
      <c r="D404" s="15"/>
      <c r="E404" s="1"/>
      <c r="F404" s="1"/>
      <c r="H404" s="1"/>
      <c r="I404" s="20"/>
    </row>
  </sheetData>
  <mergeCells count="94">
    <mergeCell ref="C268:F268"/>
    <mergeCell ref="A260:F260"/>
    <mergeCell ref="A225:F225"/>
    <mergeCell ref="A244:F244"/>
    <mergeCell ref="A252:F252"/>
    <mergeCell ref="A203:F203"/>
    <mergeCell ref="A211:F211"/>
    <mergeCell ref="A64:G64"/>
    <mergeCell ref="E49:F49"/>
    <mergeCell ref="E117:F117"/>
    <mergeCell ref="B115:B118"/>
    <mergeCell ref="A183:F183"/>
    <mergeCell ref="C185:E185"/>
    <mergeCell ref="C186:E187"/>
    <mergeCell ref="A168:F168"/>
    <mergeCell ref="C188:E188"/>
    <mergeCell ref="C190:E190"/>
    <mergeCell ref="A107:G107"/>
    <mergeCell ref="A54:F54"/>
    <mergeCell ref="E55:F55"/>
    <mergeCell ref="A119:F119"/>
    <mergeCell ref="I203:I204"/>
    <mergeCell ref="I171:I172"/>
    <mergeCell ref="A91:G91"/>
    <mergeCell ref="I91:I92"/>
    <mergeCell ref="E132:E133"/>
    <mergeCell ref="A127:F127"/>
    <mergeCell ref="A204:H205"/>
    <mergeCell ref="A197:F197"/>
    <mergeCell ref="A134:F134"/>
    <mergeCell ref="D143:F143"/>
    <mergeCell ref="E145:F145"/>
    <mergeCell ref="I134:J134"/>
    <mergeCell ref="C189:E189"/>
    <mergeCell ref="A193:G193"/>
    <mergeCell ref="D142:F142"/>
    <mergeCell ref="I168:I169"/>
    <mergeCell ref="I120:I121"/>
    <mergeCell ref="A135:G135"/>
    <mergeCell ref="I155:I156"/>
    <mergeCell ref="A153:F153"/>
    <mergeCell ref="A140:F140"/>
    <mergeCell ref="A120:F120"/>
    <mergeCell ref="A156:F156"/>
    <mergeCell ref="E118:F118"/>
    <mergeCell ref="E116:F116"/>
    <mergeCell ref="E115:F115"/>
    <mergeCell ref="A24:C24"/>
    <mergeCell ref="A25:C25"/>
    <mergeCell ref="A3:C3"/>
    <mergeCell ref="A2:C2"/>
    <mergeCell ref="A11:C11"/>
    <mergeCell ref="A8:C8"/>
    <mergeCell ref="A9:C9"/>
    <mergeCell ref="A10:C10"/>
    <mergeCell ref="A16:C16"/>
    <mergeCell ref="A23:C23"/>
    <mergeCell ref="A18:C18"/>
    <mergeCell ref="A19:C19"/>
    <mergeCell ref="A20:C20"/>
    <mergeCell ref="A21:C21"/>
    <mergeCell ref="A22:C22"/>
    <mergeCell ref="A1:E1"/>
    <mergeCell ref="A113:F113"/>
    <mergeCell ref="A77:F77"/>
    <mergeCell ref="A105:F105"/>
    <mergeCell ref="B83:G83"/>
    <mergeCell ref="A28:H28"/>
    <mergeCell ref="F30:G30"/>
    <mergeCell ref="A41:F41"/>
    <mergeCell ref="A31:F31"/>
    <mergeCell ref="A33:F33"/>
    <mergeCell ref="A34:F34"/>
    <mergeCell ref="A56:G56"/>
    <mergeCell ref="A4:C4"/>
    <mergeCell ref="A5:C5"/>
    <mergeCell ref="A6:C6"/>
    <mergeCell ref="A7:C7"/>
    <mergeCell ref="I83:I84"/>
    <mergeCell ref="A49:D49"/>
    <mergeCell ref="H12:I12"/>
    <mergeCell ref="A13:C13"/>
    <mergeCell ref="A14:C14"/>
    <mergeCell ref="A15:C15"/>
    <mergeCell ref="H15:I15"/>
    <mergeCell ref="F15:G15"/>
    <mergeCell ref="F12:G12"/>
    <mergeCell ref="I60:J61"/>
    <mergeCell ref="I80:I81"/>
    <mergeCell ref="J54:K54"/>
    <mergeCell ref="I64:I65"/>
    <mergeCell ref="A12:C12"/>
    <mergeCell ref="A17:C17"/>
    <mergeCell ref="A26:D26"/>
  </mergeCells>
  <pageMargins left="0.70866141732283472" right="0.51181102362204722" top="0.78740157480314965" bottom="0.78740157480314965" header="0.31496062992125984" footer="0.31496062992125984"/>
  <pageSetup paperSize="9" scale="80" orientation="landscape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92"/>
  <sheetViews>
    <sheetView topLeftCell="A58" workbookViewId="0">
      <selection activeCell="I84" sqref="I84"/>
    </sheetView>
  </sheetViews>
  <sheetFormatPr defaultRowHeight="15" x14ac:dyDescent="0.25"/>
  <cols>
    <col min="1" max="1" width="8.85546875" style="292" customWidth="1"/>
    <col min="2" max="2" width="19.5703125" style="292" customWidth="1"/>
    <col min="3" max="3" width="18.7109375" style="292" customWidth="1"/>
    <col min="4" max="4" width="13.140625" style="292" customWidth="1"/>
    <col min="5" max="5" width="21.140625" style="292" customWidth="1"/>
    <col min="6" max="6" width="44.85546875" style="311" customWidth="1"/>
    <col min="7" max="7" width="17.85546875" style="297" customWidth="1"/>
    <col min="8" max="8" width="22" style="291" customWidth="1"/>
    <col min="9" max="9" width="16.28515625" style="291" customWidth="1"/>
    <col min="10" max="10" width="10.28515625" style="291" customWidth="1"/>
    <col min="11" max="16384" width="9.140625" style="291"/>
  </cols>
  <sheetData>
    <row r="1" spans="1:9" x14ac:dyDescent="0.25">
      <c r="F1" s="734" t="s">
        <v>241</v>
      </c>
      <c r="G1" s="734"/>
    </row>
    <row r="2" spans="1:9" ht="33.75" customHeight="1" x14ac:dyDescent="0.25">
      <c r="B2" s="746" t="s">
        <v>205</v>
      </c>
      <c r="C2" s="747"/>
      <c r="D2" s="747"/>
      <c r="E2" s="747"/>
      <c r="F2" s="747"/>
      <c r="G2" s="748"/>
    </row>
    <row r="3" spans="1:9" ht="20.100000000000001" customHeight="1" x14ac:dyDescent="0.25">
      <c r="B3" s="293" t="s">
        <v>3</v>
      </c>
      <c r="C3" s="294" t="s">
        <v>1</v>
      </c>
      <c r="D3" s="295" t="s">
        <v>6</v>
      </c>
      <c r="E3" s="296" t="s">
        <v>109</v>
      </c>
      <c r="F3" s="296" t="s">
        <v>5</v>
      </c>
      <c r="G3" s="300" t="s">
        <v>2</v>
      </c>
    </row>
    <row r="4" spans="1:9" ht="20.100000000000001" customHeight="1" x14ac:dyDescent="0.25">
      <c r="B4" s="743" t="s">
        <v>206</v>
      </c>
      <c r="C4" s="744"/>
      <c r="D4" s="744"/>
      <c r="E4" s="744"/>
      <c r="F4" s="744"/>
      <c r="G4" s="745"/>
    </row>
    <row r="5" spans="1:9" ht="20.100000000000001" customHeight="1" x14ac:dyDescent="0.25">
      <c r="A5" s="299">
        <v>1</v>
      </c>
      <c r="B5" s="776" t="s">
        <v>0</v>
      </c>
      <c r="C5" s="779">
        <v>42074</v>
      </c>
      <c r="D5" s="773">
        <v>958</v>
      </c>
      <c r="E5" s="767" t="s">
        <v>70</v>
      </c>
      <c r="F5" s="153" t="s">
        <v>210</v>
      </c>
      <c r="G5" s="301">
        <v>100</v>
      </c>
      <c r="H5" s="306"/>
      <c r="I5" s="291" t="s">
        <v>251</v>
      </c>
    </row>
    <row r="6" spans="1:9" ht="20.100000000000001" customHeight="1" x14ac:dyDescent="0.25">
      <c r="A6" s="299">
        <v>2</v>
      </c>
      <c r="B6" s="777"/>
      <c r="C6" s="780"/>
      <c r="D6" s="774"/>
      <c r="E6" s="768"/>
      <c r="F6" s="124" t="s">
        <v>211</v>
      </c>
      <c r="G6" s="302">
        <v>100</v>
      </c>
      <c r="H6" s="306"/>
    </row>
    <row r="7" spans="1:9" ht="20.100000000000001" customHeight="1" x14ac:dyDescent="0.25">
      <c r="A7" s="299">
        <v>3</v>
      </c>
      <c r="B7" s="777"/>
      <c r="C7" s="780"/>
      <c r="D7" s="774"/>
      <c r="E7" s="768"/>
      <c r="F7" s="124" t="s">
        <v>212</v>
      </c>
      <c r="G7" s="302">
        <v>100</v>
      </c>
      <c r="H7" s="306"/>
    </row>
    <row r="8" spans="1:9" ht="20.100000000000001" customHeight="1" x14ac:dyDescent="0.25">
      <c r="A8" s="299">
        <v>4</v>
      </c>
      <c r="B8" s="777"/>
      <c r="C8" s="780"/>
      <c r="D8" s="774"/>
      <c r="E8" s="768"/>
      <c r="F8" s="124" t="s">
        <v>213</v>
      </c>
      <c r="G8" s="301">
        <v>100</v>
      </c>
      <c r="H8" s="306"/>
    </row>
    <row r="9" spans="1:9" ht="20.100000000000001" customHeight="1" x14ac:dyDescent="0.25">
      <c r="A9" s="299">
        <v>5</v>
      </c>
      <c r="B9" s="777"/>
      <c r="C9" s="780"/>
      <c r="D9" s="774"/>
      <c r="E9" s="768"/>
      <c r="F9" s="124" t="s">
        <v>214</v>
      </c>
      <c r="G9" s="302">
        <v>100</v>
      </c>
      <c r="H9" s="306"/>
    </row>
    <row r="10" spans="1:9" ht="20.100000000000001" customHeight="1" x14ac:dyDescent="0.25">
      <c r="A10" s="299">
        <v>6</v>
      </c>
      <c r="B10" s="777"/>
      <c r="C10" s="780"/>
      <c r="D10" s="774"/>
      <c r="E10" s="768"/>
      <c r="F10" s="124" t="s">
        <v>215</v>
      </c>
      <c r="G10" s="302">
        <v>100</v>
      </c>
      <c r="H10" s="306"/>
    </row>
    <row r="11" spans="1:9" ht="20.100000000000001" customHeight="1" x14ac:dyDescent="0.25">
      <c r="A11" s="299">
        <v>7</v>
      </c>
      <c r="B11" s="778"/>
      <c r="C11" s="781"/>
      <c r="D11" s="775"/>
      <c r="E11" s="769"/>
      <c r="F11" s="124" t="s">
        <v>216</v>
      </c>
      <c r="G11" s="301">
        <v>100</v>
      </c>
      <c r="H11" s="306"/>
    </row>
    <row r="12" spans="1:9" ht="20.100000000000001" customHeight="1" x14ac:dyDescent="0.25">
      <c r="A12" s="299"/>
      <c r="B12" s="749" t="s">
        <v>240</v>
      </c>
      <c r="C12" s="750"/>
      <c r="D12" s="750"/>
      <c r="E12" s="750"/>
      <c r="F12" s="750"/>
      <c r="G12" s="303">
        <f>SUM(G5:G11)</f>
        <v>700</v>
      </c>
      <c r="H12" s="306"/>
    </row>
    <row r="13" spans="1:9" ht="20.100000000000001" customHeight="1" x14ac:dyDescent="0.25">
      <c r="A13" s="299"/>
      <c r="B13" s="740" t="s">
        <v>187</v>
      </c>
      <c r="C13" s="741"/>
      <c r="D13" s="741"/>
      <c r="E13" s="741"/>
      <c r="F13" s="741"/>
      <c r="G13" s="742"/>
      <c r="H13" s="306"/>
    </row>
    <row r="14" spans="1:9" ht="20.100000000000001" customHeight="1" x14ac:dyDescent="0.25">
      <c r="A14" s="299">
        <v>1</v>
      </c>
      <c r="B14" s="770" t="s">
        <v>0</v>
      </c>
      <c r="C14" s="757">
        <v>42074</v>
      </c>
      <c r="D14" s="760">
        <v>957</v>
      </c>
      <c r="E14" s="760" t="s">
        <v>159</v>
      </c>
      <c r="F14" s="309" t="s">
        <v>217</v>
      </c>
      <c r="G14" s="302">
        <v>100</v>
      </c>
      <c r="H14" s="306"/>
      <c r="I14" s="291" t="s">
        <v>249</v>
      </c>
    </row>
    <row r="15" spans="1:9" ht="20.100000000000001" customHeight="1" x14ac:dyDescent="0.25">
      <c r="A15" s="299">
        <v>2</v>
      </c>
      <c r="B15" s="771"/>
      <c r="C15" s="752"/>
      <c r="D15" s="761"/>
      <c r="E15" s="761"/>
      <c r="F15" s="309" t="s">
        <v>218</v>
      </c>
      <c r="G15" s="302">
        <v>100</v>
      </c>
      <c r="H15" s="306"/>
    </row>
    <row r="16" spans="1:9" ht="30.75" customHeight="1" x14ac:dyDescent="0.25">
      <c r="A16" s="299">
        <v>3</v>
      </c>
      <c r="B16" s="771"/>
      <c r="C16" s="752"/>
      <c r="D16" s="761"/>
      <c r="E16" s="761"/>
      <c r="F16" s="318" t="s">
        <v>250</v>
      </c>
      <c r="G16" s="301"/>
      <c r="H16" s="306"/>
      <c r="I16" s="309" t="s">
        <v>219</v>
      </c>
    </row>
    <row r="17" spans="1:9" ht="21" x14ac:dyDescent="0.25">
      <c r="A17" s="299">
        <v>4</v>
      </c>
      <c r="B17" s="771"/>
      <c r="C17" s="752"/>
      <c r="D17" s="761"/>
      <c r="E17" s="761"/>
      <c r="F17" s="309" t="s">
        <v>220</v>
      </c>
      <c r="G17" s="302">
        <v>100</v>
      </c>
      <c r="H17" s="306"/>
    </row>
    <row r="18" spans="1:9" ht="21" x14ac:dyDescent="0.25">
      <c r="A18" s="299">
        <v>5</v>
      </c>
      <c r="B18" s="772"/>
      <c r="C18" s="753"/>
      <c r="D18" s="762"/>
      <c r="E18" s="762"/>
      <c r="F18" s="309" t="s">
        <v>221</v>
      </c>
      <c r="G18" s="301">
        <v>100</v>
      </c>
      <c r="H18" s="306"/>
    </row>
    <row r="19" spans="1:9" ht="21" x14ac:dyDescent="0.25">
      <c r="A19" s="299"/>
      <c r="B19" s="749" t="s">
        <v>240</v>
      </c>
      <c r="C19" s="750"/>
      <c r="D19" s="750"/>
      <c r="E19" s="750"/>
      <c r="F19" s="750"/>
      <c r="G19" s="303">
        <f>SUM(G14:G18)</f>
        <v>400</v>
      </c>
      <c r="H19" s="306"/>
    </row>
    <row r="20" spans="1:9" ht="21" x14ac:dyDescent="0.25">
      <c r="A20" s="299"/>
      <c r="B20" s="740" t="s">
        <v>207</v>
      </c>
      <c r="C20" s="741"/>
      <c r="D20" s="741"/>
      <c r="E20" s="741"/>
      <c r="F20" s="741"/>
      <c r="G20" s="742"/>
      <c r="H20" s="306"/>
    </row>
    <row r="21" spans="1:9" ht="21" x14ac:dyDescent="0.25">
      <c r="A21" s="299">
        <v>1</v>
      </c>
      <c r="B21" s="776" t="s">
        <v>0</v>
      </c>
      <c r="C21" s="782">
        <v>42074</v>
      </c>
      <c r="D21" s="760"/>
      <c r="E21" s="751" t="s">
        <v>119</v>
      </c>
      <c r="F21" s="309" t="s">
        <v>222</v>
      </c>
      <c r="G21" s="302">
        <v>100</v>
      </c>
      <c r="H21" s="306"/>
    </row>
    <row r="22" spans="1:9" ht="21" x14ac:dyDescent="0.25">
      <c r="A22" s="299">
        <v>2</v>
      </c>
      <c r="B22" s="777"/>
      <c r="C22" s="761"/>
      <c r="D22" s="761"/>
      <c r="E22" s="752"/>
      <c r="F22" s="309" t="s">
        <v>223</v>
      </c>
      <c r="G22" s="301">
        <v>100</v>
      </c>
      <c r="H22" s="306"/>
    </row>
    <row r="23" spans="1:9" ht="21" x14ac:dyDescent="0.25">
      <c r="A23" s="299">
        <v>3</v>
      </c>
      <c r="B23" s="777"/>
      <c r="C23" s="761"/>
      <c r="D23" s="761"/>
      <c r="E23" s="752"/>
      <c r="F23" s="309" t="s">
        <v>224</v>
      </c>
      <c r="G23" s="302">
        <v>100</v>
      </c>
      <c r="H23" s="306"/>
    </row>
    <row r="24" spans="1:9" ht="21" x14ac:dyDescent="0.25">
      <c r="A24" s="299">
        <v>4</v>
      </c>
      <c r="B24" s="777"/>
      <c r="C24" s="761"/>
      <c r="D24" s="761"/>
      <c r="E24" s="752"/>
      <c r="F24" s="309" t="s">
        <v>225</v>
      </c>
      <c r="G24" s="302">
        <v>100</v>
      </c>
      <c r="H24" s="306"/>
    </row>
    <row r="25" spans="1:9" ht="21" x14ac:dyDescent="0.25">
      <c r="A25" s="299">
        <v>5</v>
      </c>
      <c r="B25" s="777"/>
      <c r="C25" s="761"/>
      <c r="D25" s="761"/>
      <c r="E25" s="752"/>
      <c r="F25" s="309" t="s">
        <v>226</v>
      </c>
      <c r="G25" s="301">
        <v>100</v>
      </c>
      <c r="H25" s="306"/>
    </row>
    <row r="26" spans="1:9" ht="21" x14ac:dyDescent="0.25">
      <c r="A26" s="299">
        <v>6</v>
      </c>
      <c r="B26" s="778"/>
      <c r="C26" s="762"/>
      <c r="D26" s="762"/>
      <c r="E26" s="753"/>
      <c r="F26" s="309" t="s">
        <v>227</v>
      </c>
      <c r="G26" s="302">
        <v>100</v>
      </c>
      <c r="H26" s="306"/>
    </row>
    <row r="27" spans="1:9" ht="21" x14ac:dyDescent="0.25">
      <c r="A27" s="299"/>
      <c r="B27" s="749" t="s">
        <v>240</v>
      </c>
      <c r="C27" s="750"/>
      <c r="D27" s="750"/>
      <c r="E27" s="750"/>
      <c r="F27" s="750"/>
      <c r="G27" s="303">
        <f>SUM(G21:G26)</f>
        <v>600</v>
      </c>
      <c r="H27" s="306"/>
    </row>
    <row r="28" spans="1:9" ht="21" x14ac:dyDescent="0.25">
      <c r="A28" s="299"/>
      <c r="B28" s="740" t="s">
        <v>208</v>
      </c>
      <c r="C28" s="741"/>
      <c r="D28" s="741"/>
      <c r="E28" s="741"/>
      <c r="F28" s="741"/>
      <c r="G28" s="742"/>
      <c r="H28" s="306"/>
    </row>
    <row r="29" spans="1:9" ht="21" x14ac:dyDescent="0.25">
      <c r="A29" s="299">
        <v>1</v>
      </c>
      <c r="B29" s="770" t="s">
        <v>0</v>
      </c>
      <c r="C29" s="757">
        <v>42074</v>
      </c>
      <c r="D29" s="760">
        <v>956</v>
      </c>
      <c r="E29" s="751" t="s">
        <v>248</v>
      </c>
      <c r="F29" s="309" t="s">
        <v>228</v>
      </c>
      <c r="G29" s="302">
        <v>100</v>
      </c>
      <c r="H29" s="306"/>
      <c r="I29" s="314" t="s">
        <v>246</v>
      </c>
    </row>
    <row r="30" spans="1:9" ht="21" x14ac:dyDescent="0.25">
      <c r="A30" s="299">
        <v>2</v>
      </c>
      <c r="B30" s="771"/>
      <c r="C30" s="758"/>
      <c r="D30" s="761"/>
      <c r="E30" s="752"/>
      <c r="F30" s="309" t="s">
        <v>229</v>
      </c>
      <c r="G30" s="302">
        <v>100</v>
      </c>
      <c r="H30" s="306"/>
    </row>
    <row r="31" spans="1:9" ht="21" x14ac:dyDescent="0.25">
      <c r="A31" s="299">
        <v>3</v>
      </c>
      <c r="B31" s="771"/>
      <c r="C31" s="758"/>
      <c r="D31" s="761"/>
      <c r="E31" s="752"/>
      <c r="F31" s="309" t="s">
        <v>230</v>
      </c>
      <c r="G31" s="302">
        <v>100</v>
      </c>
      <c r="H31" s="306"/>
    </row>
    <row r="32" spans="1:9" ht="21" x14ac:dyDescent="0.25">
      <c r="A32" s="299">
        <v>4</v>
      </c>
      <c r="B32" s="771"/>
      <c r="C32" s="758"/>
      <c r="D32" s="761"/>
      <c r="E32" s="752"/>
      <c r="F32" s="309" t="s">
        <v>231</v>
      </c>
      <c r="G32" s="302">
        <v>100</v>
      </c>
      <c r="H32" s="306"/>
    </row>
    <row r="33" spans="1:11" ht="21" x14ac:dyDescent="0.25">
      <c r="A33" s="299">
        <v>5</v>
      </c>
      <c r="B33" s="771"/>
      <c r="C33" s="758"/>
      <c r="D33" s="761"/>
      <c r="E33" s="752"/>
      <c r="F33" s="309" t="s">
        <v>232</v>
      </c>
      <c r="G33" s="302">
        <v>100</v>
      </c>
      <c r="H33" s="306"/>
    </row>
    <row r="34" spans="1:11" ht="21" x14ac:dyDescent="0.25">
      <c r="A34" s="299">
        <v>6</v>
      </c>
      <c r="B34" s="771"/>
      <c r="C34" s="758"/>
      <c r="D34" s="761"/>
      <c r="E34" s="752"/>
      <c r="F34" s="309" t="s">
        <v>233</v>
      </c>
      <c r="G34" s="302">
        <v>100</v>
      </c>
      <c r="H34" s="306"/>
    </row>
    <row r="35" spans="1:11" ht="21" x14ac:dyDescent="0.25">
      <c r="A35" s="299">
        <v>7</v>
      </c>
      <c r="B35" s="772"/>
      <c r="C35" s="759"/>
      <c r="D35" s="762"/>
      <c r="E35" s="753"/>
      <c r="F35" s="309" t="s">
        <v>234</v>
      </c>
      <c r="G35" s="302">
        <v>100</v>
      </c>
      <c r="H35" s="306"/>
    </row>
    <row r="36" spans="1:11" ht="21" x14ac:dyDescent="0.25">
      <c r="A36" s="299"/>
      <c r="B36" s="749" t="s">
        <v>240</v>
      </c>
      <c r="C36" s="750"/>
      <c r="D36" s="750"/>
      <c r="E36" s="750"/>
      <c r="F36" s="750"/>
      <c r="G36" s="303">
        <f>SUM(G29:G35)</f>
        <v>700</v>
      </c>
      <c r="H36" s="306"/>
    </row>
    <row r="37" spans="1:11" ht="21" x14ac:dyDescent="0.25">
      <c r="A37" s="299"/>
      <c r="B37" s="740" t="s">
        <v>209</v>
      </c>
      <c r="C37" s="741"/>
      <c r="D37" s="741"/>
      <c r="E37" s="741"/>
      <c r="F37" s="741"/>
      <c r="G37" s="742"/>
      <c r="H37" s="306"/>
    </row>
    <row r="38" spans="1:11" ht="21" x14ac:dyDescent="0.25">
      <c r="A38" s="299">
        <v>1</v>
      </c>
      <c r="B38" s="754" t="s">
        <v>0</v>
      </c>
      <c r="C38" s="757">
        <v>42074</v>
      </c>
      <c r="D38" s="760">
        <v>955</v>
      </c>
      <c r="E38" s="751" t="s">
        <v>136</v>
      </c>
      <c r="F38" s="309" t="s">
        <v>235</v>
      </c>
      <c r="G38" s="302">
        <v>100</v>
      </c>
      <c r="H38" s="306"/>
      <c r="I38" s="315" t="s">
        <v>247</v>
      </c>
      <c r="J38" s="316"/>
      <c r="K38" s="317"/>
    </row>
    <row r="39" spans="1:11" ht="21" x14ac:dyDescent="0.25">
      <c r="A39" s="299">
        <v>2</v>
      </c>
      <c r="B39" s="755"/>
      <c r="C39" s="758"/>
      <c r="D39" s="761"/>
      <c r="E39" s="752"/>
      <c r="F39" s="309" t="s">
        <v>236</v>
      </c>
      <c r="G39" s="302">
        <v>100</v>
      </c>
      <c r="H39" s="306"/>
    </row>
    <row r="40" spans="1:11" ht="21" x14ac:dyDescent="0.25">
      <c r="A40" s="299">
        <v>3</v>
      </c>
      <c r="B40" s="755"/>
      <c r="C40" s="758"/>
      <c r="D40" s="761"/>
      <c r="E40" s="752"/>
      <c r="F40" s="309" t="s">
        <v>237</v>
      </c>
      <c r="G40" s="302">
        <v>150</v>
      </c>
      <c r="H40" s="306"/>
    </row>
    <row r="41" spans="1:11" ht="21" x14ac:dyDescent="0.25">
      <c r="A41" s="299">
        <v>4</v>
      </c>
      <c r="B41" s="755"/>
      <c r="C41" s="758"/>
      <c r="D41" s="761"/>
      <c r="E41" s="752"/>
      <c r="F41" s="309" t="s">
        <v>238</v>
      </c>
      <c r="G41" s="302">
        <v>100</v>
      </c>
      <c r="H41" s="306"/>
    </row>
    <row r="42" spans="1:11" ht="21" x14ac:dyDescent="0.25">
      <c r="A42" s="299">
        <v>5</v>
      </c>
      <c r="B42" s="756"/>
      <c r="C42" s="759"/>
      <c r="D42" s="762"/>
      <c r="E42" s="753"/>
      <c r="F42" s="309" t="s">
        <v>239</v>
      </c>
      <c r="G42" s="302">
        <v>100</v>
      </c>
      <c r="H42" s="306"/>
    </row>
    <row r="43" spans="1:11" ht="21" x14ac:dyDescent="0.25">
      <c r="A43" s="299"/>
      <c r="B43" s="738" t="s">
        <v>240</v>
      </c>
      <c r="C43" s="739"/>
      <c r="D43" s="739"/>
      <c r="E43" s="739"/>
      <c r="F43" s="739"/>
      <c r="G43" s="304">
        <f>SUM(G38:G42)</f>
        <v>550</v>
      </c>
      <c r="H43" s="306"/>
    </row>
    <row r="44" spans="1:11" ht="19.5" x14ac:dyDescent="0.25">
      <c r="A44" s="298">
        <f>A11+A18+A26+A35+A42</f>
        <v>30</v>
      </c>
      <c r="B44" s="732" t="s">
        <v>242</v>
      </c>
      <c r="C44" s="733"/>
      <c r="D44" s="733"/>
      <c r="E44" s="733"/>
      <c r="F44" s="733"/>
      <c r="G44" s="305">
        <f>G43+G36+G27+G19+G12</f>
        <v>2950</v>
      </c>
    </row>
    <row r="45" spans="1:11" ht="23.25" customHeight="1" thickBot="1" x14ac:dyDescent="0.3">
      <c r="B45" s="737" t="s">
        <v>245</v>
      </c>
      <c r="C45" s="737"/>
      <c r="D45" s="737"/>
      <c r="E45" s="737"/>
      <c r="F45" s="310" t="s">
        <v>243</v>
      </c>
      <c r="G45" s="307">
        <v>350</v>
      </c>
    </row>
    <row r="46" spans="1:11" ht="30" customHeight="1" thickBot="1" x14ac:dyDescent="0.3">
      <c r="B46" s="735" t="s">
        <v>244</v>
      </c>
      <c r="C46" s="736"/>
      <c r="D46" s="736"/>
      <c r="E46" s="736"/>
      <c r="F46" s="736"/>
      <c r="G46" s="308">
        <f>G44+G45</f>
        <v>3300</v>
      </c>
    </row>
    <row r="48" spans="1:11" ht="37.5" customHeight="1" x14ac:dyDescent="0.25">
      <c r="F48" s="327" t="s">
        <v>273</v>
      </c>
      <c r="G48" s="328">
        <v>3496.94</v>
      </c>
      <c r="H48" s="475" t="s">
        <v>335</v>
      </c>
    </row>
    <row r="49" spans="2:9" ht="19.5" x14ac:dyDescent="0.25">
      <c r="B49" s="731" t="s">
        <v>280</v>
      </c>
      <c r="C49" s="731"/>
      <c r="H49" s="475"/>
    </row>
    <row r="50" spans="2:9" ht="17.100000000000001" customHeight="1" x14ac:dyDescent="0.25">
      <c r="B50" s="294" t="s">
        <v>3</v>
      </c>
      <c r="C50" s="294" t="s">
        <v>1</v>
      </c>
      <c r="D50" s="295" t="s">
        <v>6</v>
      </c>
      <c r="E50" s="296" t="s">
        <v>109</v>
      </c>
      <c r="F50" s="296" t="s">
        <v>5</v>
      </c>
      <c r="G50" s="331" t="s">
        <v>2</v>
      </c>
    </row>
    <row r="51" spans="2:9" ht="17.100000000000001" customHeight="1" x14ac:dyDescent="0.25">
      <c r="B51" s="332" t="s">
        <v>0</v>
      </c>
      <c r="C51" s="333">
        <v>42096</v>
      </c>
      <c r="D51" s="332">
        <v>967</v>
      </c>
      <c r="E51" s="332" t="s">
        <v>276</v>
      </c>
      <c r="F51" s="309" t="s">
        <v>274</v>
      </c>
      <c r="G51" s="334">
        <v>250</v>
      </c>
    </row>
    <row r="52" spans="2:9" ht="17.100000000000001" customHeight="1" x14ac:dyDescent="0.25">
      <c r="B52" s="332" t="s">
        <v>0</v>
      </c>
      <c r="C52" s="333">
        <v>42096</v>
      </c>
      <c r="D52" s="332">
        <v>969</v>
      </c>
      <c r="E52" s="332" t="s">
        <v>277</v>
      </c>
      <c r="F52" s="309" t="s">
        <v>278</v>
      </c>
      <c r="G52" s="334">
        <v>100</v>
      </c>
    </row>
    <row r="53" spans="2:9" ht="17.100000000000001" customHeight="1" x14ac:dyDescent="0.25">
      <c r="B53" s="153" t="s">
        <v>0</v>
      </c>
      <c r="C53" s="254">
        <v>42096</v>
      </c>
      <c r="D53" s="154">
        <v>972</v>
      </c>
      <c r="E53" s="154" t="s">
        <v>279</v>
      </c>
      <c r="F53" s="309" t="s">
        <v>274</v>
      </c>
      <c r="G53" s="335">
        <v>250</v>
      </c>
      <c r="H53" s="17"/>
    </row>
    <row r="54" spans="2:9" ht="17.100000000000001" customHeight="1" x14ac:dyDescent="0.25">
      <c r="B54" s="332" t="s">
        <v>196</v>
      </c>
      <c r="C54" s="333">
        <v>42136</v>
      </c>
      <c r="D54" s="332">
        <v>974</v>
      </c>
      <c r="E54" s="332" t="s">
        <v>206</v>
      </c>
      <c r="F54" s="309" t="s">
        <v>292</v>
      </c>
      <c r="G54" s="334">
        <v>100</v>
      </c>
      <c r="I54" s="507">
        <f>G48+G65+H74</f>
        <v>6448.42</v>
      </c>
    </row>
    <row r="55" spans="2:9" ht="17.100000000000001" customHeight="1" x14ac:dyDescent="0.25">
      <c r="B55" s="332" t="s">
        <v>196</v>
      </c>
      <c r="C55" s="333">
        <v>42137</v>
      </c>
      <c r="D55" s="332">
        <v>975</v>
      </c>
      <c r="E55" s="332" t="s">
        <v>209</v>
      </c>
      <c r="F55" s="309" t="s">
        <v>291</v>
      </c>
      <c r="G55" s="334">
        <v>100</v>
      </c>
    </row>
    <row r="56" spans="2:9" ht="17.100000000000001" customHeight="1" x14ac:dyDescent="0.25">
      <c r="B56" s="332" t="s">
        <v>196</v>
      </c>
      <c r="C56" s="333">
        <v>42143</v>
      </c>
      <c r="D56" s="332">
        <v>1001</v>
      </c>
      <c r="E56" s="332" t="s">
        <v>209</v>
      </c>
      <c r="F56" s="309" t="s">
        <v>299</v>
      </c>
      <c r="G56" s="334">
        <v>100</v>
      </c>
    </row>
    <row r="57" spans="2:9" ht="17.100000000000001" customHeight="1" x14ac:dyDescent="0.25">
      <c r="B57" s="332" t="s">
        <v>0</v>
      </c>
      <c r="C57" s="333">
        <v>42152</v>
      </c>
      <c r="D57" s="332">
        <v>1004</v>
      </c>
      <c r="E57" s="332" t="s">
        <v>207</v>
      </c>
      <c r="F57" s="309" t="s">
        <v>318</v>
      </c>
      <c r="G57" s="334">
        <v>200</v>
      </c>
    </row>
    <row r="58" spans="2:9" ht="17.100000000000001" customHeight="1" x14ac:dyDescent="0.25">
      <c r="B58" s="332" t="s">
        <v>196</v>
      </c>
      <c r="C58" s="333">
        <v>42153</v>
      </c>
      <c r="D58" s="332">
        <v>1005</v>
      </c>
      <c r="E58" s="332" t="s">
        <v>208</v>
      </c>
      <c r="F58" s="309" t="s">
        <v>319</v>
      </c>
      <c r="G58" s="334">
        <v>200</v>
      </c>
    </row>
    <row r="59" spans="2:9" ht="17.100000000000001" customHeight="1" x14ac:dyDescent="0.25">
      <c r="B59" s="332" t="s">
        <v>196</v>
      </c>
      <c r="C59" s="333">
        <v>42158</v>
      </c>
      <c r="D59" s="332">
        <v>1007</v>
      </c>
      <c r="E59" s="332" t="s">
        <v>208</v>
      </c>
      <c r="F59" s="309" t="s">
        <v>321</v>
      </c>
      <c r="G59" s="334">
        <v>200</v>
      </c>
    </row>
    <row r="60" spans="2:9" ht="17.100000000000001" customHeight="1" x14ac:dyDescent="0.25">
      <c r="B60" s="332"/>
      <c r="C60" s="333"/>
      <c r="D60" s="332"/>
      <c r="E60" s="332"/>
      <c r="F60" s="309"/>
      <c r="G60" s="334"/>
    </row>
    <row r="61" spans="2:9" ht="24.75" customHeight="1" x14ac:dyDescent="0.25">
      <c r="C61" s="330"/>
      <c r="E61" s="729" t="s">
        <v>376</v>
      </c>
      <c r="F61" s="730"/>
      <c r="G61" s="407">
        <f>SUM(G51:G60)</f>
        <v>1500</v>
      </c>
    </row>
    <row r="62" spans="2:9" ht="17.100000000000001" customHeight="1" x14ac:dyDescent="0.25"/>
    <row r="63" spans="2:9" ht="17.100000000000001" customHeight="1" x14ac:dyDescent="0.25"/>
    <row r="64" spans="2:9" ht="17.100000000000001" customHeight="1" x14ac:dyDescent="0.25"/>
    <row r="65" spans="2:8" ht="17.100000000000001" customHeight="1" x14ac:dyDescent="0.25">
      <c r="B65" s="723"/>
      <c r="C65" s="724"/>
      <c r="D65" s="725"/>
      <c r="E65" s="470" t="s">
        <v>390</v>
      </c>
      <c r="F65" s="470"/>
      <c r="G65" s="477">
        <v>2600.7399999999998</v>
      </c>
      <c r="H65" s="476"/>
    </row>
    <row r="66" spans="2:8" ht="17.100000000000001" customHeight="1" x14ac:dyDescent="0.25">
      <c r="B66" s="726"/>
      <c r="C66" s="727"/>
      <c r="D66" s="728"/>
      <c r="E66" s="471" t="s">
        <v>391</v>
      </c>
      <c r="F66" s="471"/>
      <c r="G66" s="472">
        <f>G65-G61</f>
        <v>1100.7399999999998</v>
      </c>
      <c r="H66" s="501">
        <v>42347</v>
      </c>
    </row>
    <row r="67" spans="2:8" ht="17.100000000000001" customHeight="1" x14ac:dyDescent="0.25">
      <c r="B67" s="294" t="s">
        <v>3</v>
      </c>
      <c r="C67" s="294" t="s">
        <v>1</v>
      </c>
      <c r="D67" s="295" t="s">
        <v>6</v>
      </c>
      <c r="E67" s="296" t="s">
        <v>109</v>
      </c>
      <c r="F67" s="296" t="s">
        <v>5</v>
      </c>
      <c r="G67" s="331" t="s">
        <v>373</v>
      </c>
      <c r="H67" s="331" t="s">
        <v>374</v>
      </c>
    </row>
    <row r="68" spans="2:8" x14ac:dyDescent="0.25">
      <c r="B68" s="332"/>
      <c r="C68" s="333"/>
      <c r="D68" s="332"/>
      <c r="E68" s="332"/>
      <c r="F68" s="309"/>
      <c r="G68" s="334"/>
      <c r="H68" s="334">
        <f>G66-G68</f>
        <v>1100.7399999999998</v>
      </c>
    </row>
    <row r="69" spans="2:8" x14ac:dyDescent="0.25">
      <c r="B69" s="332" t="s">
        <v>196</v>
      </c>
      <c r="C69" s="333">
        <v>42202</v>
      </c>
      <c r="D69" s="332">
        <v>1011</v>
      </c>
      <c r="E69" s="332" t="s">
        <v>159</v>
      </c>
      <c r="F69" s="309" t="s">
        <v>392</v>
      </c>
      <c r="G69" s="334">
        <v>100</v>
      </c>
      <c r="H69" s="334">
        <f>G66-G69</f>
        <v>1000.7399999999998</v>
      </c>
    </row>
    <row r="70" spans="2:8" x14ac:dyDescent="0.25">
      <c r="B70" s="332" t="s">
        <v>196</v>
      </c>
      <c r="C70" s="333">
        <v>42206</v>
      </c>
      <c r="D70" s="332">
        <v>1012</v>
      </c>
      <c r="E70" s="332" t="s">
        <v>139</v>
      </c>
      <c r="F70" s="309" t="s">
        <v>395</v>
      </c>
      <c r="G70" s="334">
        <v>200</v>
      </c>
      <c r="H70" s="334">
        <f>$G$66-G70</f>
        <v>900.73999999999978</v>
      </c>
    </row>
    <row r="71" spans="2:8" x14ac:dyDescent="0.25">
      <c r="B71" s="332" t="s">
        <v>196</v>
      </c>
      <c r="C71" s="333">
        <v>42233</v>
      </c>
      <c r="D71" s="332">
        <v>1014</v>
      </c>
      <c r="E71" s="332" t="s">
        <v>112</v>
      </c>
      <c r="F71" s="309" t="s">
        <v>419</v>
      </c>
      <c r="G71" s="334">
        <v>50</v>
      </c>
      <c r="H71" s="334">
        <f>H70-G71</f>
        <v>850.73999999999978</v>
      </c>
    </row>
    <row r="72" spans="2:8" x14ac:dyDescent="0.25">
      <c r="B72" s="332" t="s">
        <v>196</v>
      </c>
      <c r="C72" s="333">
        <v>42243</v>
      </c>
      <c r="D72" s="332">
        <v>1018</v>
      </c>
      <c r="E72" s="332" t="s">
        <v>112</v>
      </c>
      <c r="F72" s="309" t="s">
        <v>423</v>
      </c>
      <c r="G72" s="334">
        <v>200</v>
      </c>
      <c r="H72" s="334">
        <f t="shared" ref="H72:H92" si="0">H71-G72</f>
        <v>650.73999999999978</v>
      </c>
    </row>
    <row r="73" spans="2:8" x14ac:dyDescent="0.25">
      <c r="B73" s="332" t="s">
        <v>434</v>
      </c>
      <c r="C73" s="333">
        <v>42268</v>
      </c>
      <c r="D73" s="332">
        <v>1020</v>
      </c>
      <c r="E73" s="332" t="s">
        <v>433</v>
      </c>
      <c r="F73" s="309" t="s">
        <v>432</v>
      </c>
      <c r="G73" s="334">
        <v>200</v>
      </c>
      <c r="H73" s="334">
        <f t="shared" si="0"/>
        <v>450.73999999999978</v>
      </c>
    </row>
    <row r="74" spans="2:8" x14ac:dyDescent="0.25">
      <c r="B74" s="332" t="s">
        <v>196</v>
      </c>
      <c r="C74" s="333">
        <v>42275</v>
      </c>
      <c r="D74" s="332">
        <v>1022</v>
      </c>
      <c r="E74" s="332" t="s">
        <v>112</v>
      </c>
      <c r="F74" s="309" t="s">
        <v>436</v>
      </c>
      <c r="G74" s="334">
        <v>100</v>
      </c>
      <c r="H74" s="334">
        <f t="shared" si="0"/>
        <v>350.73999999999978</v>
      </c>
    </row>
    <row r="75" spans="2:8" x14ac:dyDescent="0.25">
      <c r="B75" s="332" t="s">
        <v>196</v>
      </c>
      <c r="C75" s="333">
        <v>42290</v>
      </c>
      <c r="D75" s="332">
        <v>1276</v>
      </c>
      <c r="E75" s="332" t="s">
        <v>440</v>
      </c>
      <c r="F75" s="309" t="s">
        <v>439</v>
      </c>
      <c r="G75" s="334">
        <v>600</v>
      </c>
      <c r="H75" s="334">
        <f t="shared" si="0"/>
        <v>-249.26000000000022</v>
      </c>
    </row>
    <row r="76" spans="2:8" x14ac:dyDescent="0.25">
      <c r="B76" s="763" t="s">
        <v>467</v>
      </c>
      <c r="C76" s="764"/>
      <c r="D76" s="765"/>
      <c r="E76" s="764"/>
      <c r="F76" s="766"/>
      <c r="G76" s="527">
        <v>6249.26</v>
      </c>
      <c r="H76" s="334">
        <f>H75+G76</f>
        <v>6000</v>
      </c>
    </row>
    <row r="77" spans="2:8" x14ac:dyDescent="0.25">
      <c r="B77" s="360" t="s">
        <v>196</v>
      </c>
      <c r="C77" s="600">
        <v>42348</v>
      </c>
      <c r="D77" s="364">
        <v>1290</v>
      </c>
      <c r="E77" s="523" t="s">
        <v>401</v>
      </c>
      <c r="F77" s="360" t="s">
        <v>464</v>
      </c>
      <c r="G77" s="523">
        <v>1170</v>
      </c>
      <c r="H77" s="334">
        <f t="shared" si="0"/>
        <v>4830</v>
      </c>
    </row>
    <row r="78" spans="2:8" x14ac:dyDescent="0.25">
      <c r="B78" s="360" t="s">
        <v>196</v>
      </c>
      <c r="C78" s="600">
        <v>42348</v>
      </c>
      <c r="D78" s="364">
        <v>1291</v>
      </c>
      <c r="E78" s="523" t="s">
        <v>159</v>
      </c>
      <c r="F78" s="360" t="s">
        <v>465</v>
      </c>
      <c r="G78" s="523">
        <v>1040</v>
      </c>
      <c r="H78" s="334">
        <f t="shared" si="0"/>
        <v>3790</v>
      </c>
    </row>
    <row r="79" spans="2:8" x14ac:dyDescent="0.25">
      <c r="B79" s="360" t="s">
        <v>196</v>
      </c>
      <c r="C79" s="600">
        <v>42348</v>
      </c>
      <c r="D79" s="364">
        <v>1292</v>
      </c>
      <c r="E79" s="523" t="s">
        <v>117</v>
      </c>
      <c r="F79" s="360" t="s">
        <v>465</v>
      </c>
      <c r="G79" s="523">
        <v>1040</v>
      </c>
      <c r="H79" s="334">
        <f t="shared" si="0"/>
        <v>2750</v>
      </c>
    </row>
    <row r="80" spans="2:8" x14ac:dyDescent="0.25">
      <c r="B80" s="360" t="s">
        <v>196</v>
      </c>
      <c r="C80" s="600">
        <v>42348</v>
      </c>
      <c r="D80" s="364">
        <v>1293</v>
      </c>
      <c r="E80" s="523" t="s">
        <v>136</v>
      </c>
      <c r="F80" s="360" t="s">
        <v>465</v>
      </c>
      <c r="G80" s="523">
        <v>1040</v>
      </c>
      <c r="H80" s="334">
        <f t="shared" si="0"/>
        <v>1710</v>
      </c>
    </row>
    <row r="81" spans="2:8" x14ac:dyDescent="0.25">
      <c r="B81" s="535" t="s">
        <v>434</v>
      </c>
      <c r="C81" s="333">
        <v>42413</v>
      </c>
      <c r="D81" s="526">
        <v>1294</v>
      </c>
      <c r="E81" s="332" t="s">
        <v>440</v>
      </c>
      <c r="F81" s="309" t="s">
        <v>509</v>
      </c>
      <c r="G81" s="334">
        <v>130</v>
      </c>
      <c r="H81" s="334">
        <f t="shared" si="0"/>
        <v>1580</v>
      </c>
    </row>
    <row r="82" spans="2:8" x14ac:dyDescent="0.25">
      <c r="B82" s="535" t="s">
        <v>434</v>
      </c>
      <c r="C82" s="333">
        <v>42398</v>
      </c>
      <c r="D82" s="332">
        <v>1296</v>
      </c>
      <c r="E82" s="332" t="s">
        <v>159</v>
      </c>
      <c r="F82" s="309" t="s">
        <v>509</v>
      </c>
      <c r="G82" s="334">
        <v>130</v>
      </c>
      <c r="H82" s="334">
        <f t="shared" si="0"/>
        <v>1450</v>
      </c>
    </row>
    <row r="83" spans="2:8" x14ac:dyDescent="0.25">
      <c r="B83" s="535" t="s">
        <v>196</v>
      </c>
      <c r="C83" s="333">
        <v>42418</v>
      </c>
      <c r="D83" s="332">
        <v>1299</v>
      </c>
      <c r="E83" s="332" t="s">
        <v>159</v>
      </c>
      <c r="F83" s="309" t="s">
        <v>510</v>
      </c>
      <c r="G83" s="334">
        <v>130</v>
      </c>
      <c r="H83" s="334">
        <f t="shared" si="0"/>
        <v>1320</v>
      </c>
    </row>
    <row r="84" spans="2:8" x14ac:dyDescent="0.25">
      <c r="B84" s="332" t="s">
        <v>196</v>
      </c>
      <c r="C84" s="603">
        <v>42424</v>
      </c>
      <c r="D84" s="332">
        <v>1541</v>
      </c>
      <c r="E84" s="332" t="s">
        <v>440</v>
      </c>
      <c r="F84" s="309" t="s">
        <v>510</v>
      </c>
      <c r="G84" s="334">
        <v>130</v>
      </c>
      <c r="H84" s="334">
        <f t="shared" si="0"/>
        <v>1190</v>
      </c>
    </row>
    <row r="85" spans="2:8" x14ac:dyDescent="0.25">
      <c r="B85" s="332" t="s">
        <v>196</v>
      </c>
      <c r="C85" s="333">
        <v>42426</v>
      </c>
      <c r="D85" s="332">
        <v>1300</v>
      </c>
      <c r="E85" s="332" t="s">
        <v>117</v>
      </c>
      <c r="F85" s="309" t="s">
        <v>541</v>
      </c>
      <c r="G85" s="334">
        <v>130</v>
      </c>
      <c r="H85" s="334">
        <f t="shared" si="0"/>
        <v>1060</v>
      </c>
    </row>
    <row r="86" spans="2:8" x14ac:dyDescent="0.25">
      <c r="B86" s="332" t="s">
        <v>196</v>
      </c>
      <c r="C86" s="333">
        <v>42403</v>
      </c>
      <c r="D86" s="332">
        <v>1602</v>
      </c>
      <c r="E86" s="332" t="s">
        <v>433</v>
      </c>
      <c r="F86" s="309" t="s">
        <v>552</v>
      </c>
      <c r="G86" s="334">
        <v>150</v>
      </c>
      <c r="H86" s="334">
        <f t="shared" si="0"/>
        <v>910</v>
      </c>
    </row>
    <row r="87" spans="2:8" x14ac:dyDescent="0.25">
      <c r="B87" s="332" t="s">
        <v>553</v>
      </c>
      <c r="C87" s="333">
        <v>42436</v>
      </c>
      <c r="D87" s="332">
        <v>1605</v>
      </c>
      <c r="E87" s="332" t="s">
        <v>139</v>
      </c>
      <c r="F87" s="309" t="s">
        <v>461</v>
      </c>
      <c r="G87" s="334">
        <v>260</v>
      </c>
      <c r="H87" s="334">
        <f t="shared" si="0"/>
        <v>650</v>
      </c>
    </row>
    <row r="88" spans="2:8" x14ac:dyDescent="0.25">
      <c r="B88" s="332" t="s">
        <v>553</v>
      </c>
      <c r="C88" s="333">
        <v>42436</v>
      </c>
      <c r="D88" s="332">
        <v>1607</v>
      </c>
      <c r="E88" s="332" t="s">
        <v>433</v>
      </c>
      <c r="F88" s="309" t="s">
        <v>461</v>
      </c>
      <c r="G88" s="334">
        <v>260</v>
      </c>
      <c r="H88" s="334">
        <f t="shared" si="0"/>
        <v>390</v>
      </c>
    </row>
    <row r="89" spans="2:8" x14ac:dyDescent="0.25">
      <c r="B89" s="332" t="s">
        <v>196</v>
      </c>
      <c r="C89" s="333">
        <v>42443</v>
      </c>
      <c r="D89" s="332">
        <v>1609</v>
      </c>
      <c r="E89" s="332" t="s">
        <v>139</v>
      </c>
      <c r="F89" s="309" t="s">
        <v>554</v>
      </c>
      <c r="G89" s="334">
        <v>260</v>
      </c>
      <c r="H89" s="334">
        <f t="shared" si="0"/>
        <v>130</v>
      </c>
    </row>
    <row r="90" spans="2:8" x14ac:dyDescent="0.25">
      <c r="B90" s="332"/>
      <c r="C90" s="332"/>
      <c r="D90" s="332"/>
      <c r="E90" s="332"/>
      <c r="F90" s="309"/>
      <c r="G90" s="334"/>
      <c r="H90" s="334">
        <f t="shared" si="0"/>
        <v>130</v>
      </c>
    </row>
    <row r="91" spans="2:8" x14ac:dyDescent="0.25">
      <c r="B91" s="332"/>
      <c r="C91" s="332"/>
      <c r="D91" s="332"/>
      <c r="E91" s="332"/>
      <c r="F91" s="309"/>
      <c r="G91" s="334"/>
      <c r="H91" s="334">
        <f t="shared" si="0"/>
        <v>130</v>
      </c>
    </row>
    <row r="92" spans="2:8" x14ac:dyDescent="0.25">
      <c r="B92" s="332"/>
      <c r="C92" s="332"/>
      <c r="D92" s="332"/>
      <c r="E92" s="332"/>
      <c r="F92" s="309"/>
      <c r="G92" s="334"/>
      <c r="H92" s="334">
        <f t="shared" si="0"/>
        <v>130</v>
      </c>
    </row>
  </sheetData>
  <mergeCells count="39">
    <mergeCell ref="B76:F76"/>
    <mergeCell ref="E14:E18"/>
    <mergeCell ref="E5:E11"/>
    <mergeCell ref="B29:B35"/>
    <mergeCell ref="C29:C35"/>
    <mergeCell ref="D5:D11"/>
    <mergeCell ref="D14:D18"/>
    <mergeCell ref="D21:D26"/>
    <mergeCell ref="D29:D35"/>
    <mergeCell ref="B5:B11"/>
    <mergeCell ref="C5:C11"/>
    <mergeCell ref="B14:B18"/>
    <mergeCell ref="C14:C18"/>
    <mergeCell ref="B21:B26"/>
    <mergeCell ref="C21:C26"/>
    <mergeCell ref="B27:F27"/>
    <mergeCell ref="B36:F36"/>
    <mergeCell ref="E38:E42"/>
    <mergeCell ref="E29:E35"/>
    <mergeCell ref="E21:E26"/>
    <mergeCell ref="B38:B42"/>
    <mergeCell ref="C38:C42"/>
    <mergeCell ref="D38:D42"/>
    <mergeCell ref="B65:D66"/>
    <mergeCell ref="E61:F61"/>
    <mergeCell ref="B49:C49"/>
    <mergeCell ref="B44:F44"/>
    <mergeCell ref="F1:G1"/>
    <mergeCell ref="B46:F46"/>
    <mergeCell ref="B45:E45"/>
    <mergeCell ref="B43:F43"/>
    <mergeCell ref="B13:G13"/>
    <mergeCell ref="B4:G4"/>
    <mergeCell ref="B20:G20"/>
    <mergeCell ref="B28:G28"/>
    <mergeCell ref="B37:G37"/>
    <mergeCell ref="B2:G2"/>
    <mergeCell ref="B12:F12"/>
    <mergeCell ref="B19:F19"/>
  </mergeCells>
  <pageMargins left="0.51181102362204722" right="0.51181102362204722" top="0.78740157480314965" bottom="0.78740157480314965" header="0.31496062992125984" footer="0.31496062992125984"/>
  <pageSetup paperSize="9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70"/>
  <sheetViews>
    <sheetView workbookViewId="0">
      <selection activeCell="G69" sqref="G69"/>
    </sheetView>
  </sheetViews>
  <sheetFormatPr defaultRowHeight="15" x14ac:dyDescent="0.25"/>
  <cols>
    <col min="1" max="1" width="16.85546875" customWidth="1"/>
    <col min="2" max="2" width="16.28515625" customWidth="1"/>
    <col min="3" max="3" width="12.5703125" customWidth="1"/>
    <col min="5" max="5" width="23.85546875" customWidth="1"/>
    <col min="6" max="6" width="26.5703125" customWidth="1"/>
    <col min="7" max="7" width="20.85546875" customWidth="1"/>
    <col min="8" max="8" width="18.85546875" customWidth="1"/>
    <col min="9" max="9" width="23" customWidth="1"/>
    <col min="10" max="10" width="13.7109375" customWidth="1"/>
    <col min="11" max="11" width="37.85546875" customWidth="1"/>
  </cols>
  <sheetData>
    <row r="1" spans="1:11" ht="24.95" customHeight="1" x14ac:dyDescent="0.25"/>
    <row r="2" spans="1:11" ht="24.95" customHeight="1" x14ac:dyDescent="0.25">
      <c r="A2" s="1"/>
      <c r="B2" s="6"/>
      <c r="C2" s="15"/>
      <c r="D2" s="15"/>
      <c r="E2" s="1"/>
      <c r="F2" s="1"/>
      <c r="G2" s="136" t="s">
        <v>106</v>
      </c>
      <c r="H2" s="137">
        <v>42396</v>
      </c>
      <c r="I2" s="20"/>
      <c r="J2" s="1"/>
      <c r="K2" s="1"/>
    </row>
    <row r="3" spans="1:11" ht="24.95" customHeight="1" x14ac:dyDescent="0.25">
      <c r="A3" s="789" t="s">
        <v>511</v>
      </c>
      <c r="B3" s="789"/>
      <c r="C3" s="789"/>
      <c r="D3" s="789"/>
      <c r="E3" s="789"/>
      <c r="F3" s="789"/>
      <c r="G3" s="113"/>
      <c r="H3" s="536">
        <v>420.1</v>
      </c>
      <c r="I3" s="20"/>
      <c r="J3" s="1">
        <v>3939.9</v>
      </c>
      <c r="K3" s="1"/>
    </row>
    <row r="4" spans="1:11" ht="24.95" customHeight="1" x14ac:dyDescent="0.25">
      <c r="A4" s="9" t="s">
        <v>3</v>
      </c>
      <c r="B4" s="9" t="s">
        <v>1</v>
      </c>
      <c r="C4" s="13" t="s">
        <v>6</v>
      </c>
      <c r="D4" s="150" t="s">
        <v>107</v>
      </c>
      <c r="E4" s="5" t="s">
        <v>109</v>
      </c>
      <c r="F4" s="5" t="s">
        <v>5</v>
      </c>
      <c r="G4" s="16" t="s">
        <v>2</v>
      </c>
      <c r="H4" s="537">
        <f>H3</f>
        <v>420.1</v>
      </c>
      <c r="I4" s="20"/>
      <c r="J4" s="1"/>
      <c r="K4" s="1"/>
    </row>
    <row r="5" spans="1:11" ht="24.95" hidden="1" customHeight="1" x14ac:dyDescent="0.25">
      <c r="A5" s="114" t="s">
        <v>0</v>
      </c>
      <c r="B5" s="252">
        <v>41907</v>
      </c>
      <c r="C5" s="115"/>
      <c r="D5" s="115"/>
      <c r="E5" s="83" t="s">
        <v>62</v>
      </c>
      <c r="F5" s="83" t="s">
        <v>63</v>
      </c>
      <c r="G5" s="123">
        <v>60</v>
      </c>
      <c r="H5" s="121">
        <f t="shared" ref="H5:H12" si="0">H4-G5</f>
        <v>360.1</v>
      </c>
      <c r="I5" s="20"/>
      <c r="J5" s="1"/>
      <c r="K5" s="1"/>
    </row>
    <row r="6" spans="1:11" ht="24.95" hidden="1" customHeight="1" x14ac:dyDescent="0.25">
      <c r="A6" s="83" t="s">
        <v>0</v>
      </c>
      <c r="B6" s="239">
        <v>41914</v>
      </c>
      <c r="C6" s="10"/>
      <c r="D6" s="10"/>
      <c r="E6" s="82" t="s">
        <v>64</v>
      </c>
      <c r="F6" s="60" t="s">
        <v>65</v>
      </c>
      <c r="G6" s="123">
        <v>70</v>
      </c>
      <c r="H6" s="110">
        <f t="shared" si="0"/>
        <v>290.10000000000002</v>
      </c>
      <c r="I6" s="20"/>
      <c r="J6" s="1"/>
      <c r="K6" s="1"/>
    </row>
    <row r="7" spans="1:11" ht="24.95" hidden="1" customHeight="1" x14ac:dyDescent="0.25">
      <c r="A7" s="83" t="s">
        <v>0</v>
      </c>
      <c r="B7" s="239">
        <v>41914</v>
      </c>
      <c r="C7" s="10"/>
      <c r="D7" s="10"/>
      <c r="E7" s="82" t="s">
        <v>64</v>
      </c>
      <c r="F7" s="60" t="s">
        <v>59</v>
      </c>
      <c r="G7" s="123">
        <v>70</v>
      </c>
      <c r="H7" s="110">
        <f t="shared" si="0"/>
        <v>220.10000000000002</v>
      </c>
      <c r="I7" s="20"/>
      <c r="J7" s="1"/>
      <c r="K7" s="1"/>
    </row>
    <row r="8" spans="1:11" ht="24.95" hidden="1" customHeight="1" x14ac:dyDescent="0.25">
      <c r="A8" s="27" t="s">
        <v>0</v>
      </c>
      <c r="B8" s="790">
        <v>41925</v>
      </c>
      <c r="C8" s="21"/>
      <c r="D8" s="21"/>
      <c r="E8" s="83" t="s">
        <v>69</v>
      </c>
      <c r="F8" s="792" t="s">
        <v>74</v>
      </c>
      <c r="G8" s="123">
        <v>100</v>
      </c>
      <c r="H8" s="122">
        <f t="shared" si="0"/>
        <v>120.10000000000002</v>
      </c>
      <c r="I8" s="20"/>
      <c r="J8" s="1"/>
      <c r="K8" s="1"/>
    </row>
    <row r="9" spans="1:11" ht="24.95" hidden="1" customHeight="1" x14ac:dyDescent="0.25">
      <c r="A9" s="27" t="s">
        <v>0</v>
      </c>
      <c r="B9" s="791"/>
      <c r="C9" s="21"/>
      <c r="D9" s="21"/>
      <c r="E9" s="83" t="s">
        <v>71</v>
      </c>
      <c r="F9" s="792"/>
      <c r="G9" s="123">
        <v>70</v>
      </c>
      <c r="H9" s="122">
        <f t="shared" si="0"/>
        <v>50.100000000000023</v>
      </c>
      <c r="I9" s="20"/>
      <c r="J9" s="1"/>
      <c r="K9" s="1"/>
    </row>
    <row r="10" spans="1:11" ht="24.95" hidden="1" customHeight="1" x14ac:dyDescent="0.25">
      <c r="A10" s="27" t="s">
        <v>0</v>
      </c>
      <c r="B10" s="238">
        <v>41925</v>
      </c>
      <c r="C10" s="21"/>
      <c r="D10" s="21"/>
      <c r="E10" s="83" t="s">
        <v>78</v>
      </c>
      <c r="F10" s="83" t="s">
        <v>75</v>
      </c>
      <c r="G10" s="123">
        <v>70</v>
      </c>
      <c r="H10" s="131">
        <f t="shared" si="0"/>
        <v>-19.899999999999977</v>
      </c>
      <c r="I10" s="20"/>
      <c r="J10" s="1"/>
      <c r="K10" s="1"/>
    </row>
    <row r="11" spans="1:11" ht="24.95" hidden="1" customHeight="1" x14ac:dyDescent="0.25">
      <c r="A11" s="27" t="s">
        <v>0</v>
      </c>
      <c r="B11" s="238">
        <v>41927</v>
      </c>
      <c r="C11" s="21"/>
      <c r="D11" s="21"/>
      <c r="E11" s="83" t="s">
        <v>81</v>
      </c>
      <c r="F11" s="83" t="s">
        <v>82</v>
      </c>
      <c r="G11" s="123">
        <v>160</v>
      </c>
      <c r="H11" s="131">
        <f t="shared" si="0"/>
        <v>-179.89999999999998</v>
      </c>
      <c r="I11" s="20"/>
      <c r="J11" s="1"/>
      <c r="K11" s="1"/>
    </row>
    <row r="12" spans="1:11" ht="24.95" hidden="1" customHeight="1" x14ac:dyDescent="0.25">
      <c r="A12" s="27" t="s">
        <v>0</v>
      </c>
      <c r="B12" s="238">
        <v>41948</v>
      </c>
      <c r="C12" s="21"/>
      <c r="D12" s="21"/>
      <c r="E12" s="82" t="s">
        <v>100</v>
      </c>
      <c r="F12" s="82" t="s">
        <v>101</v>
      </c>
      <c r="G12" s="123">
        <v>300</v>
      </c>
      <c r="H12" s="131">
        <f t="shared" si="0"/>
        <v>-479.9</v>
      </c>
      <c r="I12" s="20"/>
      <c r="J12" s="1"/>
      <c r="K12" s="1"/>
    </row>
    <row r="13" spans="1:11" ht="24.95" hidden="1" customHeight="1" x14ac:dyDescent="0.25">
      <c r="A13" s="651" t="s">
        <v>121</v>
      </c>
      <c r="B13" s="651"/>
      <c r="C13" s="651"/>
      <c r="D13" s="651"/>
      <c r="E13" s="651"/>
      <c r="F13" s="651"/>
      <c r="G13" s="167"/>
      <c r="H13" s="168">
        <v>4187.8</v>
      </c>
      <c r="I13" s="20"/>
      <c r="J13" s="1"/>
      <c r="K13" s="1"/>
    </row>
    <row r="14" spans="1:11" ht="24.95" hidden="1" customHeight="1" x14ac:dyDescent="0.25">
      <c r="A14" s="643"/>
      <c r="B14" s="644"/>
      <c r="C14" s="644"/>
      <c r="D14" s="644"/>
      <c r="E14" s="645"/>
      <c r="F14" s="158" t="s">
        <v>120</v>
      </c>
      <c r="G14" s="159">
        <v>489.9</v>
      </c>
      <c r="H14" s="131">
        <f t="shared" ref="H14:H25" si="1">H13-G14</f>
        <v>3697.9</v>
      </c>
      <c r="I14" s="215" t="s">
        <v>145</v>
      </c>
      <c r="J14" s="1"/>
      <c r="K14" s="322" t="s">
        <v>252</v>
      </c>
    </row>
    <row r="15" spans="1:11" ht="24.95" hidden="1" customHeight="1" x14ac:dyDescent="0.25">
      <c r="A15" s="27" t="s">
        <v>0</v>
      </c>
      <c r="B15" s="238">
        <v>41955</v>
      </c>
      <c r="C15" s="21">
        <v>752</v>
      </c>
      <c r="D15" s="21">
        <v>3</v>
      </c>
      <c r="E15" s="156" t="s">
        <v>117</v>
      </c>
      <c r="F15" s="156" t="s">
        <v>118</v>
      </c>
      <c r="G15" s="8">
        <v>100</v>
      </c>
      <c r="H15" s="131">
        <f t="shared" si="1"/>
        <v>3597.9</v>
      </c>
      <c r="I15" s="86"/>
      <c r="J15" s="1"/>
      <c r="K15" s="323" t="s">
        <v>253</v>
      </c>
    </row>
    <row r="16" spans="1:11" ht="24.95" hidden="1" customHeight="1" x14ac:dyDescent="0.25">
      <c r="A16" s="27" t="s">
        <v>0</v>
      </c>
      <c r="B16" s="238">
        <v>41977</v>
      </c>
      <c r="C16" s="21">
        <v>754</v>
      </c>
      <c r="D16" s="21">
        <v>4</v>
      </c>
      <c r="E16" s="156" t="s">
        <v>116</v>
      </c>
      <c r="F16" s="156" t="s">
        <v>135</v>
      </c>
      <c r="G16" s="8">
        <v>100</v>
      </c>
      <c r="H16" s="131">
        <f t="shared" si="1"/>
        <v>3497.9</v>
      </c>
      <c r="I16" s="20"/>
      <c r="J16" s="1"/>
      <c r="K16" s="323" t="s">
        <v>254</v>
      </c>
    </row>
    <row r="17" spans="1:11" ht="24.95" hidden="1" customHeight="1" x14ac:dyDescent="0.25">
      <c r="A17" s="27" t="s">
        <v>0</v>
      </c>
      <c r="B17" s="238">
        <v>41977</v>
      </c>
      <c r="C17" s="21">
        <v>756</v>
      </c>
      <c r="D17" s="21">
        <v>7</v>
      </c>
      <c r="E17" s="156" t="s">
        <v>139</v>
      </c>
      <c r="F17" s="182" t="s">
        <v>140</v>
      </c>
      <c r="G17" s="8">
        <v>150</v>
      </c>
      <c r="H17" s="131">
        <f t="shared" si="1"/>
        <v>3347.9</v>
      </c>
      <c r="I17" s="20"/>
      <c r="J17" s="1"/>
      <c r="K17" s="319" t="s">
        <v>255</v>
      </c>
    </row>
    <row r="18" spans="1:11" ht="24.95" hidden="1" customHeight="1" x14ac:dyDescent="0.25">
      <c r="A18" s="27" t="s">
        <v>0</v>
      </c>
      <c r="B18" s="238">
        <v>41989</v>
      </c>
      <c r="C18" s="21">
        <v>763</v>
      </c>
      <c r="D18" s="21">
        <v>5</v>
      </c>
      <c r="E18" s="156" t="s">
        <v>112</v>
      </c>
      <c r="F18" s="156" t="s">
        <v>158</v>
      </c>
      <c r="G18" s="8">
        <f>100*3</f>
        <v>300</v>
      </c>
      <c r="H18" s="131">
        <f t="shared" si="1"/>
        <v>3047.9</v>
      </c>
      <c r="I18" s="20"/>
      <c r="J18" s="1"/>
      <c r="K18" s="320" t="s">
        <v>256</v>
      </c>
    </row>
    <row r="19" spans="1:11" ht="24.95" hidden="1" customHeight="1" x14ac:dyDescent="0.25">
      <c r="A19" s="27" t="s">
        <v>90</v>
      </c>
      <c r="B19" s="238">
        <v>41990</v>
      </c>
      <c r="C19" s="21">
        <v>767</v>
      </c>
      <c r="D19" s="21">
        <v>6</v>
      </c>
      <c r="E19" s="156" t="s">
        <v>156</v>
      </c>
      <c r="F19" s="156" t="s">
        <v>164</v>
      </c>
      <c r="G19" s="8">
        <v>300</v>
      </c>
      <c r="H19" s="131">
        <f t="shared" si="1"/>
        <v>2747.9</v>
      </c>
      <c r="I19" s="20"/>
      <c r="J19" s="1"/>
      <c r="K19" s="321" t="s">
        <v>257</v>
      </c>
    </row>
    <row r="20" spans="1:11" ht="24.95" hidden="1" customHeight="1" x14ac:dyDescent="0.25">
      <c r="A20" s="27" t="s">
        <v>0</v>
      </c>
      <c r="B20" s="238">
        <v>41992</v>
      </c>
      <c r="C20" s="21">
        <v>768</v>
      </c>
      <c r="D20" s="21">
        <v>3</v>
      </c>
      <c r="E20" s="156" t="s">
        <v>117</v>
      </c>
      <c r="F20" s="156" t="s">
        <v>165</v>
      </c>
      <c r="G20" s="8">
        <v>100</v>
      </c>
      <c r="H20" s="131">
        <f t="shared" si="1"/>
        <v>2647.9</v>
      </c>
      <c r="I20" s="20"/>
      <c r="J20" s="1"/>
      <c r="K20" s="321" t="s">
        <v>258</v>
      </c>
    </row>
    <row r="21" spans="1:11" ht="24.95" hidden="1" customHeight="1" thickBot="1" x14ac:dyDescent="0.3">
      <c r="A21" s="262" t="s">
        <v>13</v>
      </c>
      <c r="B21" s="263">
        <v>42020</v>
      </c>
      <c r="C21" s="264">
        <v>772</v>
      </c>
      <c r="D21" s="264"/>
      <c r="E21" s="265" t="s">
        <v>168</v>
      </c>
      <c r="F21" s="265" t="s">
        <v>169</v>
      </c>
      <c r="G21" s="266">
        <v>50</v>
      </c>
      <c r="H21" s="267">
        <f t="shared" si="1"/>
        <v>2597.9</v>
      </c>
      <c r="I21" s="359" t="s">
        <v>175</v>
      </c>
      <c r="J21" s="1"/>
      <c r="K21" s="321" t="s">
        <v>259</v>
      </c>
    </row>
    <row r="22" spans="1:11" ht="24.95" hidden="1" customHeight="1" thickTop="1" x14ac:dyDescent="0.25">
      <c r="A22" s="268" t="s">
        <v>0</v>
      </c>
      <c r="B22" s="269">
        <v>42044</v>
      </c>
      <c r="C22" s="270">
        <v>770</v>
      </c>
      <c r="D22" s="270"/>
      <c r="E22" s="268" t="s">
        <v>179</v>
      </c>
      <c r="F22" s="268" t="s">
        <v>177</v>
      </c>
      <c r="G22" s="274">
        <f>80*3+25*3</f>
        <v>315</v>
      </c>
      <c r="H22" s="273">
        <f t="shared" si="1"/>
        <v>2282.9</v>
      </c>
      <c r="I22" s="20"/>
      <c r="J22" s="1"/>
      <c r="K22" s="321" t="s">
        <v>260</v>
      </c>
    </row>
    <row r="23" spans="1:11" ht="24.95" hidden="1" customHeight="1" x14ac:dyDescent="0.25">
      <c r="A23" s="268" t="s">
        <v>0</v>
      </c>
      <c r="B23" s="269">
        <v>42044</v>
      </c>
      <c r="C23" s="270">
        <v>770</v>
      </c>
      <c r="D23" s="270"/>
      <c r="E23" s="271" t="s">
        <v>178</v>
      </c>
      <c r="F23" s="271" t="s">
        <v>176</v>
      </c>
      <c r="G23" s="272">
        <f>25*2</f>
        <v>50</v>
      </c>
      <c r="H23" s="273">
        <f t="shared" si="1"/>
        <v>2232.9</v>
      </c>
      <c r="I23" s="173"/>
      <c r="J23" s="1"/>
      <c r="K23" s="321" t="s">
        <v>261</v>
      </c>
    </row>
    <row r="24" spans="1:11" ht="24.95" hidden="1" customHeight="1" x14ac:dyDescent="0.25">
      <c r="A24" s="27" t="s">
        <v>0</v>
      </c>
      <c r="B24" s="257">
        <v>42051</v>
      </c>
      <c r="C24" s="21">
        <v>774</v>
      </c>
      <c r="D24" s="21"/>
      <c r="E24" s="243" t="s">
        <v>183</v>
      </c>
      <c r="F24" s="243" t="s">
        <v>182</v>
      </c>
      <c r="G24" s="8">
        <v>30</v>
      </c>
      <c r="H24" s="131">
        <f t="shared" si="1"/>
        <v>2202.9</v>
      </c>
      <c r="I24" s="173"/>
      <c r="J24" s="1"/>
      <c r="K24" s="321" t="s">
        <v>262</v>
      </c>
    </row>
    <row r="25" spans="1:11" ht="24.95" hidden="1" customHeight="1" x14ac:dyDescent="0.25">
      <c r="A25" s="268" t="s">
        <v>0</v>
      </c>
      <c r="B25" s="269">
        <v>42051</v>
      </c>
      <c r="C25" s="270">
        <v>775</v>
      </c>
      <c r="D25" s="270"/>
      <c r="E25" s="271" t="s">
        <v>184</v>
      </c>
      <c r="F25" s="271" t="s">
        <v>185</v>
      </c>
      <c r="G25" s="272">
        <v>150</v>
      </c>
      <c r="H25" s="273">
        <f t="shared" si="1"/>
        <v>2052.9</v>
      </c>
      <c r="I25" s="173"/>
      <c r="J25" s="1"/>
      <c r="K25" s="321" t="s">
        <v>263</v>
      </c>
    </row>
    <row r="26" spans="1:11" ht="30" hidden="1" customHeight="1" x14ac:dyDescent="0.25">
      <c r="A26" s="793"/>
      <c r="B26" s="794"/>
      <c r="C26" s="794"/>
      <c r="D26" s="794"/>
      <c r="E26" s="794"/>
      <c r="F26" s="794"/>
      <c r="G26" s="795"/>
      <c r="H26" s="324">
        <v>2642</v>
      </c>
      <c r="I26" s="325" t="s">
        <v>267</v>
      </c>
      <c r="J26" s="1"/>
      <c r="K26" s="321"/>
    </row>
    <row r="27" spans="1:11" ht="24.95" hidden="1" customHeight="1" x14ac:dyDescent="0.25">
      <c r="A27" s="27" t="s">
        <v>196</v>
      </c>
      <c r="B27" s="257">
        <v>42067</v>
      </c>
      <c r="C27" s="21">
        <v>953</v>
      </c>
      <c r="D27" s="21">
        <v>4</v>
      </c>
      <c r="E27" s="243" t="s">
        <v>197</v>
      </c>
      <c r="F27" s="243" t="s">
        <v>204</v>
      </c>
      <c r="G27" s="8">
        <v>50</v>
      </c>
      <c r="H27" s="131">
        <f t="shared" ref="H27:H36" si="2">H26-G27</f>
        <v>2592</v>
      </c>
      <c r="I27" s="20"/>
      <c r="J27" s="1"/>
      <c r="K27" s="321" t="s">
        <v>264</v>
      </c>
    </row>
    <row r="28" spans="1:11" ht="24.95" hidden="1" customHeight="1" x14ac:dyDescent="0.25">
      <c r="A28" s="27" t="s">
        <v>196</v>
      </c>
      <c r="B28" s="257">
        <v>42067</v>
      </c>
      <c r="C28" s="21">
        <v>954</v>
      </c>
      <c r="D28" s="21">
        <v>1</v>
      </c>
      <c r="E28" s="243" t="s">
        <v>198</v>
      </c>
      <c r="F28" s="243" t="s">
        <v>199</v>
      </c>
      <c r="G28" s="8">
        <v>185</v>
      </c>
      <c r="H28" s="131">
        <f t="shared" si="2"/>
        <v>2407</v>
      </c>
      <c r="I28" s="20"/>
      <c r="J28" s="1"/>
      <c r="K28" s="321" t="s">
        <v>265</v>
      </c>
    </row>
    <row r="29" spans="1:11" ht="24.95" hidden="1" customHeight="1" x14ac:dyDescent="0.25">
      <c r="A29" s="686" t="s">
        <v>0</v>
      </c>
      <c r="B29" s="312">
        <v>42074</v>
      </c>
      <c r="C29" s="21"/>
      <c r="D29" s="21">
        <v>1</v>
      </c>
      <c r="E29" s="313" t="s">
        <v>70</v>
      </c>
      <c r="F29" s="313">
        <v>5</v>
      </c>
      <c r="G29" s="8">
        <v>500</v>
      </c>
      <c r="H29" s="131">
        <f t="shared" si="2"/>
        <v>1907</v>
      </c>
      <c r="I29" s="20"/>
      <c r="J29" s="1"/>
      <c r="K29" s="321" t="s">
        <v>266</v>
      </c>
    </row>
    <row r="30" spans="1:11" ht="24.95" hidden="1" customHeight="1" x14ac:dyDescent="0.25">
      <c r="A30" s="788"/>
      <c r="B30" s="257">
        <v>42074</v>
      </c>
      <c r="C30" s="21"/>
      <c r="D30" s="21">
        <v>2</v>
      </c>
      <c r="E30" s="243" t="s">
        <v>268</v>
      </c>
      <c r="F30" s="243">
        <v>5</v>
      </c>
      <c r="G30" s="8">
        <v>500</v>
      </c>
      <c r="H30" s="131">
        <f t="shared" si="2"/>
        <v>1407</v>
      </c>
      <c r="I30" s="20"/>
      <c r="J30" s="1"/>
      <c r="K30" s="1"/>
    </row>
    <row r="31" spans="1:11" ht="24.95" hidden="1" customHeight="1" x14ac:dyDescent="0.25">
      <c r="A31" s="788"/>
      <c r="B31" s="312">
        <v>42074</v>
      </c>
      <c r="C31" s="21"/>
      <c r="D31" s="21">
        <v>3</v>
      </c>
      <c r="E31" s="243" t="s">
        <v>117</v>
      </c>
      <c r="F31" s="243">
        <v>5</v>
      </c>
      <c r="G31" s="8">
        <v>500</v>
      </c>
      <c r="H31" s="131">
        <f t="shared" si="2"/>
        <v>907</v>
      </c>
      <c r="I31" s="20"/>
      <c r="J31" s="1"/>
      <c r="K31" s="1"/>
    </row>
    <row r="32" spans="1:11" ht="24.95" hidden="1" customHeight="1" x14ac:dyDescent="0.25">
      <c r="A32" s="788"/>
      <c r="B32" s="312">
        <v>42074</v>
      </c>
      <c r="C32" s="21"/>
      <c r="D32" s="21">
        <v>4</v>
      </c>
      <c r="E32" s="313" t="s">
        <v>248</v>
      </c>
      <c r="F32" s="313">
        <v>7</v>
      </c>
      <c r="G32" s="8">
        <v>700</v>
      </c>
      <c r="H32" s="131">
        <f t="shared" si="2"/>
        <v>207</v>
      </c>
      <c r="I32" s="20"/>
      <c r="J32" s="1"/>
      <c r="K32" s="1"/>
    </row>
    <row r="33" spans="1:11" ht="24.95" hidden="1" customHeight="1" x14ac:dyDescent="0.25">
      <c r="A33" s="687"/>
      <c r="B33" s="312">
        <v>42074</v>
      </c>
      <c r="C33" s="21"/>
      <c r="D33" s="21">
        <v>5</v>
      </c>
      <c r="E33" s="313" t="s">
        <v>136</v>
      </c>
      <c r="F33" s="313">
        <v>5</v>
      </c>
      <c r="G33" s="8">
        <v>500</v>
      </c>
      <c r="H33" s="131">
        <f t="shared" si="2"/>
        <v>-293</v>
      </c>
      <c r="I33" s="20"/>
      <c r="J33" s="19"/>
      <c r="K33" s="1"/>
    </row>
    <row r="34" spans="1:11" ht="24.95" hidden="1" customHeight="1" x14ac:dyDescent="0.25">
      <c r="A34" s="27" t="s">
        <v>196</v>
      </c>
      <c r="B34" s="312">
        <v>42094</v>
      </c>
      <c r="C34" s="21">
        <v>966</v>
      </c>
      <c r="D34" s="21">
        <v>4</v>
      </c>
      <c r="E34" s="313" t="s">
        <v>112</v>
      </c>
      <c r="F34" s="313" t="s">
        <v>288</v>
      </c>
      <c r="G34" s="8">
        <v>100</v>
      </c>
      <c r="H34" s="131">
        <f t="shared" si="2"/>
        <v>-393</v>
      </c>
      <c r="I34" s="20"/>
      <c r="J34" s="1"/>
      <c r="K34" s="1"/>
    </row>
    <row r="35" spans="1:11" ht="24.95" hidden="1" customHeight="1" x14ac:dyDescent="0.25">
      <c r="A35" s="326" t="s">
        <v>0</v>
      </c>
      <c r="B35" s="239">
        <v>42096</v>
      </c>
      <c r="C35" s="10">
        <v>968</v>
      </c>
      <c r="D35" s="10">
        <v>5</v>
      </c>
      <c r="E35" s="326" t="s">
        <v>136</v>
      </c>
      <c r="F35" s="326" t="s">
        <v>275</v>
      </c>
      <c r="G35" s="8">
        <v>200</v>
      </c>
      <c r="H35" s="329">
        <f t="shared" si="2"/>
        <v>-593</v>
      </c>
      <c r="I35" s="20"/>
      <c r="J35" s="1"/>
      <c r="K35" s="1"/>
    </row>
    <row r="36" spans="1:11" ht="24.95" hidden="1" customHeight="1" x14ac:dyDescent="0.25">
      <c r="A36" s="326" t="s">
        <v>0</v>
      </c>
      <c r="B36" s="239">
        <v>42096</v>
      </c>
      <c r="C36" s="10">
        <v>971</v>
      </c>
      <c r="D36" s="10">
        <v>2</v>
      </c>
      <c r="E36" s="326" t="s">
        <v>268</v>
      </c>
      <c r="F36" s="326" t="s">
        <v>275</v>
      </c>
      <c r="G36" s="8">
        <v>200</v>
      </c>
      <c r="H36" s="329">
        <f t="shared" si="2"/>
        <v>-793</v>
      </c>
      <c r="I36" s="20"/>
      <c r="J36" s="1"/>
      <c r="K36" s="1"/>
    </row>
    <row r="37" spans="1:11" ht="38.25" hidden="1" customHeight="1" x14ac:dyDescent="0.25">
      <c r="A37" s="651" t="s">
        <v>297</v>
      </c>
      <c r="B37" s="651"/>
      <c r="C37" s="651"/>
      <c r="D37" s="651"/>
      <c r="E37" s="651"/>
      <c r="F37" s="651"/>
      <c r="G37" s="167"/>
      <c r="H37" s="168">
        <v>4026.3</v>
      </c>
      <c r="I37" s="479" t="s">
        <v>378</v>
      </c>
      <c r="J37" s="478">
        <v>42142</v>
      </c>
      <c r="K37" s="1"/>
    </row>
    <row r="38" spans="1:11" ht="24.95" hidden="1" customHeight="1" x14ac:dyDescent="0.25">
      <c r="A38" s="356"/>
      <c r="B38" s="239"/>
      <c r="C38" s="10"/>
      <c r="D38" s="10"/>
      <c r="E38" s="356"/>
      <c r="F38" s="360"/>
      <c r="G38" s="158" t="s">
        <v>120</v>
      </c>
      <c r="H38" s="159">
        <v>3407.5</v>
      </c>
      <c r="I38" s="20"/>
      <c r="J38" s="1"/>
      <c r="K38" s="1"/>
    </row>
    <row r="39" spans="1:11" ht="24.95" hidden="1" customHeight="1" x14ac:dyDescent="0.25">
      <c r="A39" s="399"/>
      <c r="B39" s="239"/>
      <c r="C39" s="10"/>
      <c r="D39" s="10"/>
      <c r="E39" s="399"/>
      <c r="F39" s="403"/>
      <c r="G39" s="361" t="s">
        <v>298</v>
      </c>
      <c r="H39" s="362">
        <f>H37-H38</f>
        <v>618.80000000000018</v>
      </c>
      <c r="I39" s="20"/>
      <c r="J39" s="1"/>
      <c r="K39" s="1"/>
    </row>
    <row r="40" spans="1:11" ht="24.95" hidden="1" customHeight="1" x14ac:dyDescent="0.25">
      <c r="A40" s="399" t="s">
        <v>196</v>
      </c>
      <c r="B40" s="239">
        <v>42143</v>
      </c>
      <c r="C40" s="10">
        <v>1002</v>
      </c>
      <c r="D40" s="10">
        <v>5</v>
      </c>
      <c r="E40" s="399" t="s">
        <v>136</v>
      </c>
      <c r="F40" s="399" t="s">
        <v>300</v>
      </c>
      <c r="G40" s="8">
        <v>97.8</v>
      </c>
      <c r="H40" s="404">
        <f>H39-G40</f>
        <v>521.00000000000023</v>
      </c>
      <c r="I40" s="20"/>
      <c r="J40" s="1"/>
      <c r="K40" s="1"/>
    </row>
    <row r="41" spans="1:11" ht="24.95" hidden="1" customHeight="1" x14ac:dyDescent="0.25">
      <c r="A41" s="364" t="s">
        <v>196</v>
      </c>
      <c r="B41" s="366">
        <v>42143</v>
      </c>
      <c r="C41" s="363">
        <v>1003</v>
      </c>
      <c r="D41" s="364">
        <v>4</v>
      </c>
      <c r="E41" s="364" t="s">
        <v>296</v>
      </c>
      <c r="F41" s="364" t="s">
        <v>301</v>
      </c>
      <c r="G41" s="365">
        <v>79.900000000000006</v>
      </c>
      <c r="H41" s="404">
        <f>H40-G41</f>
        <v>441.10000000000025</v>
      </c>
    </row>
    <row r="42" spans="1:11" ht="24.95" hidden="1" customHeight="1" x14ac:dyDescent="0.25">
      <c r="A42" s="364" t="s">
        <v>196</v>
      </c>
      <c r="B42" s="366">
        <v>42153</v>
      </c>
      <c r="C42" s="364">
        <v>1006</v>
      </c>
      <c r="D42" s="364">
        <v>4</v>
      </c>
      <c r="E42" s="364" t="s">
        <v>296</v>
      </c>
      <c r="F42" s="364" t="s">
        <v>320</v>
      </c>
      <c r="G42" s="365">
        <v>200</v>
      </c>
      <c r="H42" s="404">
        <f t="shared" ref="H42:H51" si="3">H41-G42</f>
        <v>241.10000000000025</v>
      </c>
    </row>
    <row r="43" spans="1:11" ht="24.95" hidden="1" customHeight="1" x14ac:dyDescent="0.25">
      <c r="A43" s="364" t="s">
        <v>196</v>
      </c>
      <c r="B43" s="366">
        <v>42170</v>
      </c>
      <c r="C43" s="364">
        <v>1008</v>
      </c>
      <c r="D43" s="364">
        <v>3</v>
      </c>
      <c r="E43" s="364" t="s">
        <v>330</v>
      </c>
      <c r="F43" s="403" t="s">
        <v>331</v>
      </c>
      <c r="G43" s="365">
        <v>200.9</v>
      </c>
      <c r="H43" s="404">
        <f t="shared" si="3"/>
        <v>40.200000000000244</v>
      </c>
    </row>
    <row r="44" spans="1:11" ht="24.95" hidden="1" customHeight="1" x14ac:dyDescent="0.25">
      <c r="A44" s="364" t="s">
        <v>196</v>
      </c>
      <c r="B44" s="366">
        <v>42195</v>
      </c>
      <c r="C44" s="364">
        <v>1009</v>
      </c>
      <c r="D44" s="364">
        <v>2</v>
      </c>
      <c r="E44" s="364" t="s">
        <v>159</v>
      </c>
      <c r="F44" s="363" t="s">
        <v>358</v>
      </c>
      <c r="G44" s="365">
        <v>100</v>
      </c>
      <c r="H44" s="404">
        <f t="shared" si="3"/>
        <v>-59.799999999999756</v>
      </c>
    </row>
    <row r="45" spans="1:11" ht="24.95" hidden="1" customHeight="1" x14ac:dyDescent="0.25">
      <c r="A45" s="364" t="s">
        <v>196</v>
      </c>
      <c r="B45" s="366">
        <v>42200</v>
      </c>
      <c r="C45" s="364">
        <v>1010</v>
      </c>
      <c r="D45" s="364">
        <v>5</v>
      </c>
      <c r="E45" s="364" t="s">
        <v>136</v>
      </c>
      <c r="F45" s="364" t="s">
        <v>389</v>
      </c>
      <c r="G45" s="365">
        <v>186.5</v>
      </c>
      <c r="H45" s="404">
        <f t="shared" si="3"/>
        <v>-246.29999999999976</v>
      </c>
    </row>
    <row r="46" spans="1:11" ht="24.95" hidden="1" customHeight="1" x14ac:dyDescent="0.25">
      <c r="A46" s="364" t="s">
        <v>196</v>
      </c>
      <c r="B46" s="366">
        <v>42209</v>
      </c>
      <c r="C46" s="364">
        <v>1013</v>
      </c>
      <c r="D46" s="364">
        <v>1</v>
      </c>
      <c r="E46" s="364" t="s">
        <v>401</v>
      </c>
      <c r="F46" s="403" t="s">
        <v>402</v>
      </c>
      <c r="G46" s="365">
        <v>189.8</v>
      </c>
      <c r="H46" s="404">
        <f t="shared" si="3"/>
        <v>-436.0999999999998</v>
      </c>
    </row>
    <row r="47" spans="1:11" ht="24.95" hidden="1" customHeight="1" x14ac:dyDescent="0.25">
      <c r="A47" s="364" t="s">
        <v>196</v>
      </c>
      <c r="B47" s="366">
        <v>42235</v>
      </c>
      <c r="C47" s="403">
        <v>1015</v>
      </c>
      <c r="D47" s="364">
        <v>1</v>
      </c>
      <c r="E47" s="364" t="s">
        <v>401</v>
      </c>
      <c r="F47" s="364" t="s">
        <v>421</v>
      </c>
      <c r="G47" s="365">
        <v>20.9</v>
      </c>
      <c r="H47" s="404">
        <f t="shared" si="3"/>
        <v>-456.99999999999977</v>
      </c>
    </row>
    <row r="48" spans="1:11" ht="24.95" hidden="1" customHeight="1" x14ac:dyDescent="0.25">
      <c r="A48" s="364" t="s">
        <v>196</v>
      </c>
      <c r="B48" s="366">
        <v>42240</v>
      </c>
      <c r="C48" s="364">
        <v>1017</v>
      </c>
      <c r="D48" s="364">
        <v>3</v>
      </c>
      <c r="E48" s="364" t="s">
        <v>117</v>
      </c>
      <c r="F48" s="364" t="s">
        <v>422</v>
      </c>
      <c r="G48" s="364">
        <v>100</v>
      </c>
      <c r="H48" s="404">
        <f t="shared" si="3"/>
        <v>-556.99999999999977</v>
      </c>
      <c r="I48" s="298"/>
      <c r="J48" s="298"/>
    </row>
    <row r="49" spans="1:10" ht="24.95" hidden="1" customHeight="1" x14ac:dyDescent="0.25">
      <c r="A49" s="364" t="s">
        <v>196</v>
      </c>
      <c r="B49" s="366">
        <v>42243</v>
      </c>
      <c r="C49" s="364">
        <v>1019</v>
      </c>
      <c r="D49" s="364">
        <v>4</v>
      </c>
      <c r="E49" s="364" t="s">
        <v>112</v>
      </c>
      <c r="F49" s="364" t="s">
        <v>424</v>
      </c>
      <c r="G49" s="364">
        <v>300</v>
      </c>
      <c r="H49" s="404">
        <f t="shared" si="3"/>
        <v>-856.99999999999977</v>
      </c>
      <c r="I49" s="298"/>
      <c r="J49" s="298"/>
    </row>
    <row r="50" spans="1:10" ht="24.95" hidden="1" customHeight="1" x14ac:dyDescent="0.25">
      <c r="A50" s="364" t="s">
        <v>196</v>
      </c>
      <c r="B50" s="366">
        <v>42274</v>
      </c>
      <c r="C50" s="364">
        <v>1023</v>
      </c>
      <c r="D50" s="364">
        <v>4</v>
      </c>
      <c r="E50" s="364" t="s">
        <v>112</v>
      </c>
      <c r="F50" s="364" t="s">
        <v>435</v>
      </c>
      <c r="G50" s="364">
        <v>148.6</v>
      </c>
      <c r="H50" s="404">
        <f t="shared" si="3"/>
        <v>-1005.5999999999998</v>
      </c>
      <c r="I50" s="298"/>
      <c r="J50" s="298"/>
    </row>
    <row r="51" spans="1:10" ht="24.95" hidden="1" customHeight="1" x14ac:dyDescent="0.25">
      <c r="A51" s="525" t="s">
        <v>196</v>
      </c>
      <c r="B51" s="366"/>
      <c r="C51" s="364"/>
      <c r="D51" s="364"/>
      <c r="E51" s="364"/>
      <c r="F51" s="364"/>
      <c r="G51" s="364">
        <v>200</v>
      </c>
      <c r="H51" s="404">
        <f t="shared" si="3"/>
        <v>-1205.5999999999999</v>
      </c>
      <c r="I51" s="298"/>
      <c r="J51" s="298"/>
    </row>
    <row r="52" spans="1:10" ht="24.95" hidden="1" customHeight="1" x14ac:dyDescent="0.25">
      <c r="A52" s="785" t="s">
        <v>338</v>
      </c>
      <c r="B52" s="786"/>
      <c r="C52" s="786"/>
      <c r="D52" s="786"/>
      <c r="E52" s="786"/>
      <c r="F52" s="787"/>
      <c r="G52" s="411">
        <v>4300</v>
      </c>
      <c r="H52" s="404">
        <f>H51+G52</f>
        <v>3094.4</v>
      </c>
      <c r="I52" s="413"/>
      <c r="J52" s="412"/>
    </row>
    <row r="53" spans="1:10" ht="30" hidden="1" customHeight="1" x14ac:dyDescent="0.25">
      <c r="A53" s="360" t="s">
        <v>196</v>
      </c>
      <c r="B53" s="509">
        <v>42290</v>
      </c>
      <c r="C53" s="360">
        <v>1278</v>
      </c>
      <c r="D53" s="360">
        <v>3</v>
      </c>
      <c r="E53" s="360" t="s">
        <v>440</v>
      </c>
      <c r="F53" s="360" t="s">
        <v>441</v>
      </c>
      <c r="G53" s="523">
        <v>99.9</v>
      </c>
      <c r="H53" s="404">
        <f>H52-G53</f>
        <v>2994.5</v>
      </c>
      <c r="I53" s="298"/>
      <c r="J53" s="298"/>
    </row>
    <row r="54" spans="1:10" ht="30" hidden="1" customHeight="1" x14ac:dyDescent="0.25">
      <c r="A54" s="360" t="s">
        <v>196</v>
      </c>
      <c r="B54" s="509">
        <v>42290</v>
      </c>
      <c r="C54" s="360">
        <v>1279</v>
      </c>
      <c r="D54" s="360">
        <v>3</v>
      </c>
      <c r="E54" s="360" t="s">
        <v>440</v>
      </c>
      <c r="F54" s="360" t="s">
        <v>442</v>
      </c>
      <c r="G54" s="523">
        <v>396</v>
      </c>
      <c r="H54" s="404">
        <f t="shared" ref="H54:H70" si="4">H53-G54</f>
        <v>2598.5</v>
      </c>
    </row>
    <row r="55" spans="1:10" ht="30" hidden="1" customHeight="1" x14ac:dyDescent="0.25">
      <c r="A55" s="360" t="s">
        <v>196</v>
      </c>
      <c r="B55" s="509">
        <v>42298</v>
      </c>
      <c r="C55" s="360">
        <v>1280</v>
      </c>
      <c r="D55" s="360">
        <v>4</v>
      </c>
      <c r="E55" s="360" t="s">
        <v>112</v>
      </c>
      <c r="F55" s="360" t="s">
        <v>443</v>
      </c>
      <c r="G55" s="523">
        <v>99.9</v>
      </c>
      <c r="H55" s="404">
        <f t="shared" si="4"/>
        <v>2498.6</v>
      </c>
    </row>
    <row r="56" spans="1:10" ht="30" hidden="1" customHeight="1" x14ac:dyDescent="0.25">
      <c r="A56" s="360" t="s">
        <v>434</v>
      </c>
      <c r="B56" s="509">
        <v>42300</v>
      </c>
      <c r="C56" s="360">
        <v>1281</v>
      </c>
      <c r="D56" s="360">
        <v>2</v>
      </c>
      <c r="E56" s="360" t="s">
        <v>159</v>
      </c>
      <c r="F56" s="360" t="s">
        <v>460</v>
      </c>
      <c r="G56" s="523">
        <v>100</v>
      </c>
      <c r="H56" s="404">
        <f t="shared" si="4"/>
        <v>2398.6</v>
      </c>
    </row>
    <row r="57" spans="1:10" ht="30" hidden="1" customHeight="1" x14ac:dyDescent="0.25">
      <c r="A57" s="360" t="s">
        <v>434</v>
      </c>
      <c r="B57" s="509">
        <v>42326</v>
      </c>
      <c r="C57" s="360">
        <v>1285</v>
      </c>
      <c r="D57" s="360">
        <v>1</v>
      </c>
      <c r="E57" s="360" t="s">
        <v>401</v>
      </c>
      <c r="F57" s="360" t="s">
        <v>461</v>
      </c>
      <c r="G57" s="523">
        <v>200</v>
      </c>
      <c r="H57" s="404">
        <f t="shared" si="4"/>
        <v>2198.6</v>
      </c>
    </row>
    <row r="58" spans="1:10" ht="30" hidden="1" customHeight="1" x14ac:dyDescent="0.25">
      <c r="A58" s="360" t="s">
        <v>434</v>
      </c>
      <c r="B58" s="509">
        <v>42275</v>
      </c>
      <c r="C58" s="360">
        <v>1351</v>
      </c>
      <c r="D58" s="360">
        <v>1</v>
      </c>
      <c r="E58" s="360" t="s">
        <v>440</v>
      </c>
      <c r="F58" s="360" t="s">
        <v>463</v>
      </c>
      <c r="G58" s="523">
        <v>100</v>
      </c>
      <c r="H58" s="404">
        <f t="shared" si="4"/>
        <v>2098.6</v>
      </c>
    </row>
    <row r="59" spans="1:10" ht="30" customHeight="1" x14ac:dyDescent="0.4">
      <c r="A59" s="783" t="s">
        <v>462</v>
      </c>
      <c r="B59" s="784"/>
      <c r="C59" s="784"/>
      <c r="D59" s="784"/>
      <c r="E59" s="784"/>
      <c r="F59" s="784"/>
      <c r="G59" s="524">
        <v>4136.42</v>
      </c>
      <c r="H59" s="404">
        <f>H58+G59</f>
        <v>6235.02</v>
      </c>
    </row>
    <row r="60" spans="1:10" ht="30" customHeight="1" x14ac:dyDescent="0.25">
      <c r="A60" s="360" t="s">
        <v>196</v>
      </c>
      <c r="B60" s="509">
        <v>42348</v>
      </c>
      <c r="C60" s="523">
        <v>1286</v>
      </c>
      <c r="D60" s="360">
        <v>1</v>
      </c>
      <c r="E60" s="523" t="s">
        <v>401</v>
      </c>
      <c r="F60" s="360" t="s">
        <v>464</v>
      </c>
      <c r="G60" s="523">
        <v>1170</v>
      </c>
      <c r="H60" s="404">
        <f t="shared" si="4"/>
        <v>5065.0200000000004</v>
      </c>
      <c r="I60" t="s">
        <v>466</v>
      </c>
    </row>
    <row r="61" spans="1:10" x14ac:dyDescent="0.25">
      <c r="A61" s="360" t="s">
        <v>196</v>
      </c>
      <c r="B61" s="509">
        <v>42348</v>
      </c>
      <c r="C61" s="523">
        <v>1287</v>
      </c>
      <c r="D61" s="360">
        <v>2</v>
      </c>
      <c r="E61" s="523" t="s">
        <v>159</v>
      </c>
      <c r="F61" s="360" t="s">
        <v>465</v>
      </c>
      <c r="G61" s="523">
        <v>1040</v>
      </c>
      <c r="H61" s="404">
        <f t="shared" si="4"/>
        <v>4025.0200000000004</v>
      </c>
    </row>
    <row r="62" spans="1:10" x14ac:dyDescent="0.25">
      <c r="A62" s="360" t="s">
        <v>196</v>
      </c>
      <c r="B62" s="509">
        <v>42348</v>
      </c>
      <c r="C62" s="523">
        <v>1288</v>
      </c>
      <c r="D62" s="360">
        <v>3</v>
      </c>
      <c r="E62" s="523" t="s">
        <v>117</v>
      </c>
      <c r="F62" s="360" t="s">
        <v>465</v>
      </c>
      <c r="G62" s="523">
        <v>1040</v>
      </c>
      <c r="H62" s="404">
        <f t="shared" si="4"/>
        <v>2985.0200000000004</v>
      </c>
    </row>
    <row r="63" spans="1:10" x14ac:dyDescent="0.25">
      <c r="A63" s="360" t="s">
        <v>196</v>
      </c>
      <c r="B63" s="509">
        <v>42348</v>
      </c>
      <c r="C63" s="523">
        <v>1289</v>
      </c>
      <c r="D63" s="360">
        <v>5</v>
      </c>
      <c r="E63" s="523" t="s">
        <v>136</v>
      </c>
      <c r="F63" s="360" t="s">
        <v>465</v>
      </c>
      <c r="G63" s="523">
        <v>1040</v>
      </c>
      <c r="H63" s="404">
        <f t="shared" si="4"/>
        <v>1945.0200000000004</v>
      </c>
    </row>
    <row r="64" spans="1:10" x14ac:dyDescent="0.25">
      <c r="A64" s="360" t="s">
        <v>434</v>
      </c>
      <c r="B64" s="509">
        <v>42382</v>
      </c>
      <c r="C64" s="523">
        <v>1295</v>
      </c>
      <c r="D64" s="360">
        <v>4</v>
      </c>
      <c r="E64" s="523" t="s">
        <v>440</v>
      </c>
      <c r="F64" s="360" t="s">
        <v>510</v>
      </c>
      <c r="G64" s="523">
        <v>130</v>
      </c>
      <c r="H64" s="404">
        <f t="shared" si="4"/>
        <v>1815.0200000000004</v>
      </c>
    </row>
    <row r="65" spans="1:8" x14ac:dyDescent="0.25">
      <c r="A65" s="360" t="s">
        <v>434</v>
      </c>
      <c r="B65" s="509">
        <v>42398</v>
      </c>
      <c r="C65" s="360">
        <v>1297</v>
      </c>
      <c r="D65" s="360">
        <v>2</v>
      </c>
      <c r="E65" s="360" t="s">
        <v>159</v>
      </c>
      <c r="F65" s="360" t="s">
        <v>510</v>
      </c>
      <c r="G65" s="523">
        <v>130</v>
      </c>
      <c r="H65" s="404">
        <f t="shared" si="4"/>
        <v>1685.0200000000004</v>
      </c>
    </row>
    <row r="66" spans="1:8" ht="30" x14ac:dyDescent="0.25">
      <c r="A66" s="360" t="s">
        <v>196</v>
      </c>
      <c r="B66" s="509">
        <v>42395</v>
      </c>
      <c r="C66" s="360">
        <v>1601</v>
      </c>
      <c r="D66" s="360">
        <v>3</v>
      </c>
      <c r="E66" s="360" t="s">
        <v>117</v>
      </c>
      <c r="F66" s="534" t="s">
        <v>542</v>
      </c>
      <c r="G66" s="523">
        <v>260</v>
      </c>
      <c r="H66" s="404">
        <f t="shared" si="4"/>
        <v>1425.0200000000004</v>
      </c>
    </row>
    <row r="67" spans="1:8" x14ac:dyDescent="0.25">
      <c r="A67" s="360" t="s">
        <v>553</v>
      </c>
      <c r="B67" s="509">
        <v>42436</v>
      </c>
      <c r="C67" s="360">
        <v>1606</v>
      </c>
      <c r="D67" s="360">
        <v>5</v>
      </c>
      <c r="E67" s="360" t="s">
        <v>139</v>
      </c>
      <c r="F67" s="360" t="s">
        <v>461</v>
      </c>
      <c r="G67" s="360">
        <v>260</v>
      </c>
      <c r="H67" s="404">
        <f t="shared" si="4"/>
        <v>1165.0200000000004</v>
      </c>
    </row>
    <row r="68" spans="1:8" x14ac:dyDescent="0.25">
      <c r="A68" s="360" t="s">
        <v>553</v>
      </c>
      <c r="B68" s="509">
        <v>42436</v>
      </c>
      <c r="C68" s="360">
        <v>1608</v>
      </c>
      <c r="D68" s="360">
        <v>1</v>
      </c>
      <c r="E68" s="360" t="s">
        <v>401</v>
      </c>
      <c r="F68" s="360" t="s">
        <v>509</v>
      </c>
      <c r="G68" s="360">
        <v>130</v>
      </c>
      <c r="H68" s="404">
        <f t="shared" si="4"/>
        <v>1035.0200000000004</v>
      </c>
    </row>
    <row r="69" spans="1:8" x14ac:dyDescent="0.25">
      <c r="A69" s="360"/>
      <c r="B69" s="360"/>
      <c r="C69" s="360"/>
      <c r="D69" s="360"/>
      <c r="E69" s="360"/>
      <c r="F69" s="360"/>
      <c r="G69" s="360"/>
      <c r="H69" s="404">
        <f t="shared" si="4"/>
        <v>1035.0200000000004</v>
      </c>
    </row>
    <row r="70" spans="1:8" x14ac:dyDescent="0.25">
      <c r="A70" s="360"/>
      <c r="B70" s="360"/>
      <c r="C70" s="360"/>
      <c r="D70" s="360"/>
      <c r="E70" s="360"/>
      <c r="F70" s="360"/>
      <c r="G70" s="360"/>
      <c r="H70" s="404">
        <f t="shared" si="4"/>
        <v>1035.0200000000004</v>
      </c>
    </row>
  </sheetData>
  <mergeCells count="10">
    <mergeCell ref="A59:F59"/>
    <mergeCell ref="A52:F52"/>
    <mergeCell ref="A29:A33"/>
    <mergeCell ref="A37:F37"/>
    <mergeCell ref="A3:F3"/>
    <mergeCell ref="B8:B9"/>
    <mergeCell ref="F8:F9"/>
    <mergeCell ref="A13:F13"/>
    <mergeCell ref="A14:E14"/>
    <mergeCell ref="A26:G26"/>
  </mergeCells>
  <pageMargins left="0.51181102362204722" right="0.51181102362204722" top="0.78740157480314965" bottom="0.78740157480314965" header="0.31496062992125984" footer="0.31496062992125984"/>
  <pageSetup paperSize="9" scale="70" orientation="landscape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L61"/>
  <sheetViews>
    <sheetView topLeftCell="A49" workbookViewId="0">
      <selection activeCell="E57" sqref="E57"/>
    </sheetView>
  </sheetViews>
  <sheetFormatPr defaultRowHeight="15" x14ac:dyDescent="0.25"/>
  <cols>
    <col min="1" max="1" width="22.85546875" customWidth="1"/>
    <col min="2" max="2" width="24" customWidth="1"/>
    <col min="3" max="3" width="15.140625" customWidth="1"/>
    <col min="5" max="5" width="23.42578125" customWidth="1"/>
    <col min="6" max="6" width="26" customWidth="1"/>
    <col min="7" max="7" width="20.28515625" customWidth="1"/>
    <col min="8" max="8" width="18.28515625" customWidth="1"/>
    <col min="9" max="9" width="15.42578125" customWidth="1"/>
    <col min="10" max="10" width="7.7109375" customWidth="1"/>
    <col min="11" max="11" width="15" customWidth="1"/>
  </cols>
  <sheetData>
    <row r="2" spans="1:12" ht="30" customHeight="1" x14ac:dyDescent="0.25">
      <c r="A2" s="1"/>
      <c r="B2" s="6"/>
      <c r="C2" s="15"/>
      <c r="D2" s="15"/>
      <c r="E2" s="1"/>
      <c r="F2" s="1"/>
      <c r="G2" s="2"/>
      <c r="H2" s="1"/>
      <c r="I2" s="20"/>
      <c r="J2" s="1"/>
      <c r="K2" s="1"/>
      <c r="L2" s="1"/>
    </row>
    <row r="3" spans="1:12" ht="30" customHeight="1" x14ac:dyDescent="0.25">
      <c r="A3" s="801" t="s">
        <v>14</v>
      </c>
      <c r="B3" s="801"/>
      <c r="C3" s="79" t="s">
        <v>15</v>
      </c>
      <c r="D3" s="144" t="s">
        <v>107</v>
      </c>
      <c r="E3" s="807" t="s">
        <v>68</v>
      </c>
      <c r="F3" s="808"/>
      <c r="G3" s="106" t="s">
        <v>48</v>
      </c>
      <c r="H3" s="107">
        <v>2498.8000000000002</v>
      </c>
      <c r="I3" s="75"/>
      <c r="J3" s="1"/>
      <c r="K3" s="1"/>
      <c r="L3" s="1"/>
    </row>
    <row r="4" spans="1:12" ht="30" customHeight="1" thickBot="1" x14ac:dyDescent="0.3">
      <c r="A4" s="22" t="s">
        <v>3</v>
      </c>
      <c r="B4" s="22" t="s">
        <v>1</v>
      </c>
      <c r="C4" s="23" t="s">
        <v>6</v>
      </c>
      <c r="D4" s="23"/>
      <c r="E4" s="5" t="s">
        <v>109</v>
      </c>
      <c r="F4" s="24" t="s">
        <v>5</v>
      </c>
      <c r="G4" s="25" t="s">
        <v>2</v>
      </c>
      <c r="H4" s="26">
        <v>2498.8000000000002</v>
      </c>
      <c r="I4" s="11"/>
      <c r="J4" s="1"/>
      <c r="K4" s="1"/>
      <c r="L4" s="1"/>
    </row>
    <row r="5" spans="1:12" ht="30" customHeight="1" x14ac:dyDescent="0.25">
      <c r="A5" s="28" t="s">
        <v>0</v>
      </c>
      <c r="B5" s="245">
        <v>41765</v>
      </c>
      <c r="C5" s="809">
        <v>373</v>
      </c>
      <c r="D5" s="41">
        <v>2</v>
      </c>
      <c r="E5" s="55" t="s">
        <v>16</v>
      </c>
      <c r="F5" s="796" t="s">
        <v>22</v>
      </c>
      <c r="G5" s="30">
        <v>200</v>
      </c>
      <c r="H5" s="31">
        <f t="shared" ref="H5:H22" si="0">H4-G5</f>
        <v>2298.8000000000002</v>
      </c>
      <c r="I5" s="75"/>
      <c r="J5" s="1"/>
      <c r="K5" s="1"/>
      <c r="L5" s="1"/>
    </row>
    <row r="6" spans="1:12" ht="30" customHeight="1" thickBot="1" x14ac:dyDescent="0.3">
      <c r="A6" s="32" t="s">
        <v>0</v>
      </c>
      <c r="B6" s="246">
        <v>41765</v>
      </c>
      <c r="C6" s="810"/>
      <c r="D6" s="42">
        <v>4</v>
      </c>
      <c r="E6" s="33" t="s">
        <v>17</v>
      </c>
      <c r="F6" s="797"/>
      <c r="G6" s="34">
        <f>4*60</f>
        <v>240</v>
      </c>
      <c r="H6" s="35">
        <f t="shared" si="0"/>
        <v>2058.8000000000002</v>
      </c>
      <c r="I6" s="75"/>
      <c r="J6" s="1"/>
      <c r="K6" s="1"/>
      <c r="L6" s="1"/>
    </row>
    <row r="7" spans="1:12" ht="30" customHeight="1" thickBot="1" x14ac:dyDescent="0.3">
      <c r="A7" s="28" t="s">
        <v>0</v>
      </c>
      <c r="B7" s="247">
        <v>41765</v>
      </c>
      <c r="C7" s="815">
        <v>376</v>
      </c>
      <c r="D7" s="62">
        <v>1</v>
      </c>
      <c r="E7" s="56" t="s">
        <v>18</v>
      </c>
      <c r="F7" s="796" t="s">
        <v>23</v>
      </c>
      <c r="G7" s="30">
        <v>100</v>
      </c>
      <c r="H7" s="31">
        <f t="shared" si="0"/>
        <v>1958.8000000000002</v>
      </c>
      <c r="I7" s="75"/>
      <c r="J7" s="1"/>
      <c r="K7" s="1"/>
      <c r="L7" s="1"/>
    </row>
    <row r="8" spans="1:12" ht="30" customHeight="1" thickBot="1" x14ac:dyDescent="0.3">
      <c r="A8" s="37" t="s">
        <v>0</v>
      </c>
      <c r="B8" s="248">
        <v>41765</v>
      </c>
      <c r="C8" s="816"/>
      <c r="D8" s="63">
        <v>3</v>
      </c>
      <c r="E8" s="59" t="s">
        <v>19</v>
      </c>
      <c r="F8" s="788"/>
      <c r="G8" s="8">
        <f>60*3</f>
        <v>180</v>
      </c>
      <c r="H8" s="31">
        <f t="shared" si="0"/>
        <v>1778.8000000000002</v>
      </c>
      <c r="I8" s="75"/>
      <c r="J8" s="1"/>
      <c r="K8" s="1"/>
      <c r="L8" s="1"/>
    </row>
    <row r="9" spans="1:12" ht="30" customHeight="1" thickBot="1" x14ac:dyDescent="0.3">
      <c r="A9" s="39" t="s">
        <v>0</v>
      </c>
      <c r="B9" s="249">
        <v>41765</v>
      </c>
      <c r="C9" s="817"/>
      <c r="D9" s="63">
        <v>2</v>
      </c>
      <c r="E9" s="43" t="s">
        <v>20</v>
      </c>
      <c r="F9" s="788"/>
      <c r="G9" s="40">
        <f>60*2</f>
        <v>120</v>
      </c>
      <c r="H9" s="31">
        <f t="shared" si="0"/>
        <v>1658.8000000000002</v>
      </c>
      <c r="I9" s="75"/>
      <c r="J9" s="1"/>
      <c r="K9" s="1"/>
      <c r="L9" s="1"/>
    </row>
    <row r="10" spans="1:12" ht="30" customHeight="1" thickBot="1" x14ac:dyDescent="0.3">
      <c r="A10" s="28" t="s">
        <v>0</v>
      </c>
      <c r="B10" s="245">
        <v>41765</v>
      </c>
      <c r="C10" s="36">
        <v>377</v>
      </c>
      <c r="D10" s="36">
        <v>3</v>
      </c>
      <c r="E10" s="55" t="s">
        <v>21</v>
      </c>
      <c r="F10" s="796" t="s">
        <v>24</v>
      </c>
      <c r="G10" s="30">
        <f>100*3</f>
        <v>300</v>
      </c>
      <c r="H10" s="31">
        <f t="shared" si="0"/>
        <v>1358.8000000000002</v>
      </c>
      <c r="I10" s="75"/>
      <c r="J10" s="1" t="s">
        <v>143</v>
      </c>
      <c r="K10" s="1" t="s">
        <v>144</v>
      </c>
      <c r="L10" s="1"/>
    </row>
    <row r="11" spans="1:12" ht="30" customHeight="1" thickBot="1" x14ac:dyDescent="0.3">
      <c r="A11" s="32" t="s">
        <v>0</v>
      </c>
      <c r="B11" s="246">
        <v>41765</v>
      </c>
      <c r="C11" s="38"/>
      <c r="D11" s="38">
        <v>2</v>
      </c>
      <c r="E11" s="33" t="s">
        <v>20</v>
      </c>
      <c r="F11" s="797"/>
      <c r="G11" s="34">
        <f>60*2</f>
        <v>120</v>
      </c>
      <c r="H11" s="31">
        <f t="shared" si="0"/>
        <v>1238.8000000000002</v>
      </c>
      <c r="I11" s="75"/>
      <c r="J11" s="1"/>
      <c r="K11" s="1"/>
      <c r="L11" s="1"/>
    </row>
    <row r="12" spans="1:12" ht="30" customHeight="1" thickBot="1" x14ac:dyDescent="0.3">
      <c r="A12" s="28" t="s">
        <v>0</v>
      </c>
      <c r="B12" s="245">
        <v>41766</v>
      </c>
      <c r="C12" s="36"/>
      <c r="D12" s="36">
        <v>2</v>
      </c>
      <c r="E12" s="55" t="s">
        <v>25</v>
      </c>
      <c r="F12" s="796" t="s">
        <v>31</v>
      </c>
      <c r="G12" s="30">
        <f>100*2</f>
        <v>200</v>
      </c>
      <c r="H12" s="31">
        <f t="shared" si="0"/>
        <v>1038.8000000000002</v>
      </c>
      <c r="I12" s="75"/>
      <c r="J12" s="1"/>
      <c r="K12" s="1"/>
      <c r="L12" s="1"/>
    </row>
    <row r="13" spans="1:12" ht="30" customHeight="1" thickBot="1" x14ac:dyDescent="0.3">
      <c r="A13" s="44" t="s">
        <v>0</v>
      </c>
      <c r="B13" s="239">
        <v>41766</v>
      </c>
      <c r="C13" s="10"/>
      <c r="D13" s="10">
        <v>1</v>
      </c>
      <c r="E13" s="60" t="s">
        <v>26</v>
      </c>
      <c r="F13" s="788"/>
      <c r="G13" s="8">
        <v>60</v>
      </c>
      <c r="H13" s="31">
        <f t="shared" si="0"/>
        <v>978.80000000000018</v>
      </c>
      <c r="I13" s="75"/>
      <c r="J13" s="1"/>
      <c r="K13" s="1"/>
      <c r="L13" s="1"/>
    </row>
    <row r="14" spans="1:12" ht="30" customHeight="1" thickBot="1" x14ac:dyDescent="0.3">
      <c r="A14" s="45" t="s">
        <v>0</v>
      </c>
      <c r="B14" s="246">
        <v>41766</v>
      </c>
      <c r="C14" s="38"/>
      <c r="D14" s="38">
        <v>2</v>
      </c>
      <c r="E14" s="33" t="s">
        <v>20</v>
      </c>
      <c r="F14" s="797"/>
      <c r="G14" s="34">
        <f>60*2</f>
        <v>120</v>
      </c>
      <c r="H14" s="31">
        <f t="shared" si="0"/>
        <v>858.80000000000018</v>
      </c>
      <c r="I14" s="75"/>
      <c r="J14" s="1"/>
      <c r="K14" s="1"/>
      <c r="L14" s="1"/>
    </row>
    <row r="15" spans="1:12" ht="30" customHeight="1" thickBot="1" x14ac:dyDescent="0.3">
      <c r="A15" s="28" t="s">
        <v>0</v>
      </c>
      <c r="B15" s="245">
        <v>41766</v>
      </c>
      <c r="C15" s="36"/>
      <c r="D15" s="36">
        <v>3</v>
      </c>
      <c r="E15" s="29" t="s">
        <v>27</v>
      </c>
      <c r="F15" s="796" t="s">
        <v>32</v>
      </c>
      <c r="G15" s="30">
        <f>60*3</f>
        <v>180</v>
      </c>
      <c r="H15" s="31">
        <f t="shared" si="0"/>
        <v>678.80000000000018</v>
      </c>
      <c r="I15" s="75"/>
      <c r="J15" s="1"/>
      <c r="K15" s="1"/>
      <c r="L15" s="1"/>
    </row>
    <row r="16" spans="1:12" ht="30" customHeight="1" thickBot="1" x14ac:dyDescent="0.3">
      <c r="A16" s="37" t="s">
        <v>0</v>
      </c>
      <c r="B16" s="239">
        <v>41766</v>
      </c>
      <c r="C16" s="10"/>
      <c r="D16" s="10">
        <v>1</v>
      </c>
      <c r="E16" s="58" t="s">
        <v>28</v>
      </c>
      <c r="F16" s="788"/>
      <c r="G16" s="8">
        <v>100</v>
      </c>
      <c r="H16" s="31">
        <f t="shared" si="0"/>
        <v>578.80000000000018</v>
      </c>
      <c r="I16" s="75"/>
      <c r="J16" s="1"/>
      <c r="K16" s="1"/>
      <c r="L16" s="1"/>
    </row>
    <row r="17" spans="1:12" ht="30" customHeight="1" thickBot="1" x14ac:dyDescent="0.3">
      <c r="A17" s="32" t="s">
        <v>0</v>
      </c>
      <c r="B17" s="246">
        <v>41766</v>
      </c>
      <c r="C17" s="38"/>
      <c r="D17" s="38">
        <v>1</v>
      </c>
      <c r="E17" s="61" t="s">
        <v>29</v>
      </c>
      <c r="F17" s="797"/>
      <c r="G17" s="34">
        <v>60</v>
      </c>
      <c r="H17" s="31">
        <f t="shared" si="0"/>
        <v>518.80000000000018</v>
      </c>
      <c r="I17" s="75"/>
      <c r="J17" s="98" t="s">
        <v>44</v>
      </c>
      <c r="K17" s="99">
        <v>2498.8000000000002</v>
      </c>
      <c r="L17" s="2"/>
    </row>
    <row r="18" spans="1:12" ht="30" customHeight="1" thickBot="1" x14ac:dyDescent="0.3">
      <c r="A18" s="46" t="s">
        <v>0</v>
      </c>
      <c r="B18" s="250">
        <v>41766</v>
      </c>
      <c r="C18" s="47"/>
      <c r="D18" s="47">
        <v>5</v>
      </c>
      <c r="E18" s="57" t="s">
        <v>30</v>
      </c>
      <c r="F18" s="48" t="s">
        <v>37</v>
      </c>
      <c r="G18" s="49">
        <f>100*5</f>
        <v>500</v>
      </c>
      <c r="H18" s="31">
        <f t="shared" si="0"/>
        <v>18.800000000000182</v>
      </c>
      <c r="I18" s="75"/>
      <c r="J18" s="84" t="s">
        <v>45</v>
      </c>
      <c r="K18" s="85">
        <f>G23</f>
        <v>2980</v>
      </c>
      <c r="L18" s="2"/>
    </row>
    <row r="19" spans="1:12" ht="30" customHeight="1" thickBot="1" x14ac:dyDescent="0.3">
      <c r="A19" s="798" t="s">
        <v>0</v>
      </c>
      <c r="B19" s="812">
        <v>41766</v>
      </c>
      <c r="C19" s="29"/>
      <c r="D19" s="29">
        <v>1</v>
      </c>
      <c r="E19" s="55" t="s">
        <v>18</v>
      </c>
      <c r="F19" s="796" t="s">
        <v>36</v>
      </c>
      <c r="G19" s="30">
        <v>100</v>
      </c>
      <c r="H19" s="88">
        <f t="shared" si="0"/>
        <v>-81.199999999999818</v>
      </c>
      <c r="I19" s="75"/>
      <c r="J19" s="84" t="s">
        <v>46</v>
      </c>
      <c r="K19" s="85">
        <f>K18-K17</f>
        <v>481.19999999999982</v>
      </c>
      <c r="L19" s="2"/>
    </row>
    <row r="20" spans="1:12" ht="30" customHeight="1" thickBot="1" x14ac:dyDescent="0.3">
      <c r="A20" s="799"/>
      <c r="B20" s="813"/>
      <c r="C20" s="10"/>
      <c r="D20" s="10">
        <v>3</v>
      </c>
      <c r="E20" s="7" t="s">
        <v>27</v>
      </c>
      <c r="F20" s="788"/>
      <c r="G20" s="8">
        <f>60*3</f>
        <v>180</v>
      </c>
      <c r="H20" s="88">
        <f t="shared" si="0"/>
        <v>-261.19999999999982</v>
      </c>
      <c r="I20" s="75"/>
      <c r="J20" s="100" t="s">
        <v>47</v>
      </c>
      <c r="K20" s="101">
        <v>489.85</v>
      </c>
      <c r="L20" s="2"/>
    </row>
    <row r="21" spans="1:12" ht="30" customHeight="1" thickBot="1" x14ac:dyDescent="0.3">
      <c r="A21" s="800"/>
      <c r="B21" s="814"/>
      <c r="C21" s="38"/>
      <c r="D21" s="38">
        <v>2</v>
      </c>
      <c r="E21" s="61" t="s">
        <v>33</v>
      </c>
      <c r="F21" s="797"/>
      <c r="G21" s="34">
        <f>60*2</f>
        <v>120</v>
      </c>
      <c r="H21" s="89">
        <f t="shared" si="0"/>
        <v>-381.19999999999982</v>
      </c>
      <c r="I21" s="75"/>
      <c r="J21" s="818" t="s">
        <v>53</v>
      </c>
      <c r="K21" s="819"/>
      <c r="L21" s="2"/>
    </row>
    <row r="22" spans="1:12" ht="30" customHeight="1" thickBot="1" x14ac:dyDescent="0.3">
      <c r="A22" s="27" t="s">
        <v>13</v>
      </c>
      <c r="B22" s="238">
        <v>41796</v>
      </c>
      <c r="C22" s="21"/>
      <c r="D22" s="21">
        <f>SUM(D5:D21)</f>
        <v>38</v>
      </c>
      <c r="E22" s="27" t="s">
        <v>41</v>
      </c>
      <c r="F22" s="27" t="s">
        <v>42</v>
      </c>
      <c r="G22" s="67">
        <v>100</v>
      </c>
      <c r="H22" s="89">
        <f t="shared" si="0"/>
        <v>-481.19999999999982</v>
      </c>
      <c r="I22" s="75"/>
      <c r="J22" s="820"/>
      <c r="K22" s="821"/>
      <c r="L22" s="1"/>
    </row>
    <row r="23" spans="1:12" ht="30" customHeight="1" thickBot="1" x14ac:dyDescent="0.3">
      <c r="A23" s="7"/>
      <c r="B23" s="239"/>
      <c r="C23" s="10"/>
      <c r="D23" s="10"/>
      <c r="E23" s="7"/>
      <c r="F23" s="7"/>
      <c r="G23" s="91">
        <f>SUM(G5:G22)</f>
        <v>2980</v>
      </c>
      <c r="H23" s="90"/>
      <c r="I23" s="75"/>
      <c r="J23" s="822"/>
      <c r="K23" s="823"/>
      <c r="L23" s="1"/>
    </row>
    <row r="24" spans="1:12" ht="30" customHeight="1" x14ac:dyDescent="0.25">
      <c r="A24" s="1"/>
      <c r="B24" s="6"/>
      <c r="C24" s="15"/>
      <c r="D24" s="15"/>
      <c r="E24" s="65" t="s">
        <v>35</v>
      </c>
      <c r="F24" s="66">
        <f>15*100</f>
        <v>1500</v>
      </c>
      <c r="G24" s="69"/>
      <c r="H24" s="75"/>
      <c r="I24" s="75"/>
      <c r="J24" s="1"/>
      <c r="K24" s="1"/>
      <c r="L24" s="1"/>
    </row>
    <row r="25" spans="1:12" ht="30" customHeight="1" x14ac:dyDescent="0.25">
      <c r="A25" s="1"/>
      <c r="B25" s="6"/>
      <c r="C25" s="15"/>
      <c r="D25" s="15"/>
      <c r="E25" s="50" t="s">
        <v>34</v>
      </c>
      <c r="F25" s="52">
        <f>7*60</f>
        <v>420</v>
      </c>
      <c r="G25" s="2"/>
      <c r="H25" s="1"/>
      <c r="I25" s="20"/>
      <c r="J25" s="1"/>
      <c r="K25" s="1"/>
      <c r="L25" s="1"/>
    </row>
    <row r="26" spans="1:12" ht="30" customHeight="1" x14ac:dyDescent="0.25">
      <c r="A26" s="1"/>
      <c r="B26" s="6"/>
      <c r="C26" s="15"/>
      <c r="D26" s="15"/>
      <c r="E26" s="50" t="s">
        <v>49</v>
      </c>
      <c r="F26" s="52">
        <f>16*60+100</f>
        <v>1060</v>
      </c>
      <c r="G26" s="2"/>
      <c r="H26" s="1"/>
      <c r="I26" s="20"/>
      <c r="J26" s="1"/>
      <c r="K26" s="1"/>
      <c r="L26" s="1"/>
    </row>
    <row r="27" spans="1:12" ht="30" customHeight="1" thickBot="1" x14ac:dyDescent="0.3">
      <c r="A27" s="1"/>
      <c r="B27" s="6"/>
      <c r="C27" s="15"/>
      <c r="D27" s="15"/>
      <c r="E27" s="51" t="s">
        <v>38</v>
      </c>
      <c r="F27" s="53">
        <f>SUM(F24:F26)</f>
        <v>2980</v>
      </c>
      <c r="G27" s="2"/>
      <c r="H27" s="19"/>
      <c r="I27" s="20"/>
      <c r="J27" s="1"/>
      <c r="K27" s="1"/>
      <c r="L27" s="1"/>
    </row>
    <row r="28" spans="1:12" ht="30" customHeight="1" thickBot="1" x14ac:dyDescent="0.3">
      <c r="A28" s="1"/>
      <c r="B28" s="6"/>
      <c r="C28" s="15"/>
      <c r="D28" s="15"/>
      <c r="E28" s="4"/>
      <c r="F28" s="54"/>
      <c r="G28" s="2"/>
      <c r="H28" s="1"/>
      <c r="I28" s="20"/>
      <c r="J28" s="1"/>
      <c r="K28" s="1"/>
      <c r="L28" s="1"/>
    </row>
    <row r="29" spans="1:12" ht="30" customHeight="1" x14ac:dyDescent="0.25">
      <c r="A29" s="1"/>
      <c r="B29" s="6"/>
      <c r="C29" s="15"/>
      <c r="D29" s="15"/>
      <c r="E29" s="824" t="s">
        <v>54</v>
      </c>
      <c r="F29" s="825"/>
      <c r="G29" s="826"/>
      <c r="H29" s="72"/>
      <c r="I29" s="20"/>
      <c r="J29" s="1"/>
      <c r="K29" s="1"/>
      <c r="L29" s="1"/>
    </row>
    <row r="30" spans="1:12" ht="30" customHeight="1" x14ac:dyDescent="0.25">
      <c r="A30" s="1"/>
      <c r="B30" s="6"/>
      <c r="C30" s="15"/>
      <c r="D30" s="15"/>
      <c r="E30" s="80" t="s">
        <v>40</v>
      </c>
      <c r="F30" s="18"/>
      <c r="G30" s="92" t="s">
        <v>50</v>
      </c>
      <c r="H30" s="1"/>
      <c r="I30" s="20"/>
      <c r="J30" s="1"/>
      <c r="K30" s="1"/>
      <c r="L30" s="1"/>
    </row>
    <row r="31" spans="1:12" ht="30" customHeight="1" x14ac:dyDescent="0.25">
      <c r="A31" s="1"/>
      <c r="B31" s="6"/>
      <c r="C31" s="15"/>
      <c r="D31" s="15"/>
      <c r="E31" s="80" t="s">
        <v>10</v>
      </c>
      <c r="F31" s="17">
        <v>258.39999999999998</v>
      </c>
      <c r="G31" s="81">
        <v>121.6</v>
      </c>
      <c r="H31" s="2"/>
      <c r="I31" s="20"/>
      <c r="J31" s="1"/>
      <c r="K31" s="1"/>
      <c r="L31" s="1"/>
    </row>
    <row r="32" spans="1:12" ht="30" customHeight="1" x14ac:dyDescent="0.25">
      <c r="A32" s="811"/>
      <c r="B32" s="811"/>
      <c r="C32" s="68"/>
      <c r="D32" s="68"/>
      <c r="E32" s="93" t="s">
        <v>12</v>
      </c>
      <c r="F32" s="69">
        <v>350.7</v>
      </c>
      <c r="G32" s="94">
        <v>69.3</v>
      </c>
      <c r="H32" s="1"/>
      <c r="I32" s="69"/>
      <c r="J32" s="1"/>
      <c r="K32" s="1"/>
      <c r="L32" s="1"/>
    </row>
    <row r="33" spans="1:12" ht="30" customHeight="1" x14ac:dyDescent="0.25">
      <c r="A33" s="70"/>
      <c r="B33" s="70"/>
      <c r="C33" s="71"/>
      <c r="D33" s="71"/>
      <c r="E33" s="93" t="s">
        <v>9</v>
      </c>
      <c r="F33" s="69">
        <v>400</v>
      </c>
      <c r="G33" s="95">
        <v>0</v>
      </c>
      <c r="H33" s="19"/>
      <c r="I33" s="11"/>
      <c r="J33" s="1"/>
      <c r="K33" s="1"/>
      <c r="L33" s="1"/>
    </row>
    <row r="34" spans="1:12" ht="30" customHeight="1" x14ac:dyDescent="0.25">
      <c r="A34" s="72"/>
      <c r="B34" s="251"/>
      <c r="C34" s="73"/>
      <c r="D34" s="73"/>
      <c r="E34" s="93" t="s">
        <v>7</v>
      </c>
      <c r="F34" s="69">
        <v>255.1</v>
      </c>
      <c r="G34" s="94">
        <v>84.9</v>
      </c>
      <c r="H34" s="1"/>
      <c r="I34" s="86"/>
      <c r="J34" s="1"/>
      <c r="K34" s="1"/>
      <c r="L34" s="1"/>
    </row>
    <row r="35" spans="1:12" ht="30" customHeight="1" x14ac:dyDescent="0.25">
      <c r="A35" s="72"/>
      <c r="B35" s="251"/>
      <c r="C35" s="73"/>
      <c r="D35" s="73"/>
      <c r="E35" s="93" t="s">
        <v>11</v>
      </c>
      <c r="F35" s="69">
        <v>424.8</v>
      </c>
      <c r="G35" s="94">
        <v>75.2</v>
      </c>
      <c r="H35" s="1"/>
      <c r="I35" s="86"/>
      <c r="J35" s="1"/>
      <c r="K35" s="1"/>
      <c r="L35" s="1"/>
    </row>
    <row r="36" spans="1:12" ht="30" customHeight="1" x14ac:dyDescent="0.25">
      <c r="A36" s="72"/>
      <c r="B36" s="251"/>
      <c r="C36" s="73"/>
      <c r="D36" s="73"/>
      <c r="E36" s="93" t="s">
        <v>8</v>
      </c>
      <c r="F36" s="69">
        <v>400</v>
      </c>
      <c r="G36" s="94">
        <v>0</v>
      </c>
      <c r="H36" s="1"/>
      <c r="I36" s="86"/>
      <c r="J36" s="1"/>
      <c r="K36" s="1"/>
      <c r="L36" s="1"/>
    </row>
    <row r="37" spans="1:12" ht="30" customHeight="1" x14ac:dyDescent="0.25">
      <c r="A37" s="72"/>
      <c r="B37" s="251"/>
      <c r="C37" s="73"/>
      <c r="D37" s="73"/>
      <c r="E37" s="93" t="s">
        <v>39</v>
      </c>
      <c r="F37" s="69">
        <v>396.8</v>
      </c>
      <c r="G37" s="94">
        <v>43.2</v>
      </c>
      <c r="H37" s="1"/>
      <c r="I37" s="86"/>
      <c r="J37" s="1"/>
      <c r="K37" s="1"/>
      <c r="L37" s="1"/>
    </row>
    <row r="38" spans="1:12" ht="30" customHeight="1" thickBot="1" x14ac:dyDescent="0.3">
      <c r="A38" s="72"/>
      <c r="B38" s="251"/>
      <c r="C38" s="73"/>
      <c r="D38" s="73"/>
      <c r="E38" s="108" t="e">
        <f>F38+G38</f>
        <v>#REF!</v>
      </c>
      <c r="F38" s="97" t="e">
        <f>SUM(#REF!)</f>
        <v>#REF!</v>
      </c>
      <c r="G38" s="96" t="e">
        <f>SUM(#REF!)</f>
        <v>#REF!</v>
      </c>
      <c r="H38" s="19"/>
      <c r="I38" s="86"/>
      <c r="J38" s="1"/>
      <c r="K38" s="1"/>
      <c r="L38" s="1"/>
    </row>
    <row r="39" spans="1:12" ht="30" customHeight="1" x14ac:dyDescent="0.25">
      <c r="A39" s="72"/>
      <c r="B39" s="251"/>
      <c r="C39" s="76"/>
      <c r="D39" s="76"/>
      <c r="E39" s="4"/>
      <c r="F39" s="72"/>
      <c r="G39" s="74"/>
      <c r="H39" s="102"/>
      <c r="I39" s="86"/>
      <c r="J39" s="1"/>
      <c r="K39" s="1"/>
      <c r="L39" s="1"/>
    </row>
    <row r="40" spans="1:12" ht="30" customHeight="1" x14ac:dyDescent="0.25">
      <c r="A40" s="801" t="s">
        <v>14</v>
      </c>
      <c r="B40" s="801"/>
      <c r="C40" s="802" t="s">
        <v>15</v>
      </c>
      <c r="D40" s="803"/>
      <c r="E40" s="804" t="s">
        <v>51</v>
      </c>
      <c r="F40" s="804"/>
      <c r="G40" s="64" t="s">
        <v>4</v>
      </c>
      <c r="H40" s="103">
        <v>0</v>
      </c>
      <c r="I40" s="86"/>
      <c r="J40" s="1"/>
      <c r="K40" s="1"/>
      <c r="L40" s="1"/>
    </row>
    <row r="41" spans="1:12" ht="30" customHeight="1" x14ac:dyDescent="0.25">
      <c r="A41" s="9" t="s">
        <v>3</v>
      </c>
      <c r="B41" s="9" t="s">
        <v>1</v>
      </c>
      <c r="C41" s="13" t="s">
        <v>6</v>
      </c>
      <c r="D41" s="13" t="s">
        <v>107</v>
      </c>
      <c r="E41" s="5" t="s">
        <v>109</v>
      </c>
      <c r="F41" s="5" t="s">
        <v>5</v>
      </c>
      <c r="G41" s="16" t="s">
        <v>2</v>
      </c>
      <c r="H41" s="104">
        <v>0</v>
      </c>
      <c r="I41" s="86"/>
      <c r="J41" s="1"/>
      <c r="K41" s="1"/>
      <c r="L41" s="1"/>
    </row>
    <row r="42" spans="1:12" ht="30" customHeight="1" x14ac:dyDescent="0.25">
      <c r="A42" s="83" t="s">
        <v>0</v>
      </c>
      <c r="B42" s="239">
        <v>41845</v>
      </c>
      <c r="C42" s="10">
        <v>601</v>
      </c>
      <c r="D42" s="10">
        <v>2</v>
      </c>
      <c r="E42" s="82" t="s">
        <v>43</v>
      </c>
      <c r="F42" s="83" t="s">
        <v>52</v>
      </c>
      <c r="G42" s="8">
        <v>60</v>
      </c>
      <c r="H42" s="105">
        <f t="shared" ref="H42:H47" si="1">H41-G42</f>
        <v>-60</v>
      </c>
      <c r="I42" s="75"/>
      <c r="J42" s="1"/>
      <c r="K42" s="12"/>
      <c r="L42" s="12"/>
    </row>
    <row r="43" spans="1:12" ht="30" customHeight="1" thickBot="1" x14ac:dyDescent="0.3">
      <c r="A43" s="114" t="s">
        <v>0</v>
      </c>
      <c r="B43" s="252">
        <v>41869</v>
      </c>
      <c r="C43" s="115"/>
      <c r="D43" s="115"/>
      <c r="E43" s="116" t="s">
        <v>56</v>
      </c>
      <c r="F43" s="114" t="s">
        <v>55</v>
      </c>
      <c r="G43" s="40">
        <v>60</v>
      </c>
      <c r="H43" s="163">
        <f t="shared" si="1"/>
        <v>-120</v>
      </c>
      <c r="I43" s="86"/>
      <c r="J43" s="1"/>
      <c r="K43" s="1"/>
      <c r="L43" s="1"/>
    </row>
    <row r="44" spans="1:12" ht="30" customHeight="1" x14ac:dyDescent="0.25">
      <c r="A44" s="28" t="s">
        <v>0</v>
      </c>
      <c r="B44" s="245">
        <v>41914</v>
      </c>
      <c r="C44" s="36"/>
      <c r="D44" s="36"/>
      <c r="E44" s="119" t="s">
        <v>64</v>
      </c>
      <c r="F44" s="29" t="s">
        <v>65</v>
      </c>
      <c r="G44" s="30">
        <v>100</v>
      </c>
      <c r="H44" s="164">
        <f t="shared" si="1"/>
        <v>-220</v>
      </c>
      <c r="I44" s="86"/>
      <c r="J44" s="1"/>
      <c r="K44" s="1"/>
      <c r="L44" s="1"/>
    </row>
    <row r="45" spans="1:12" ht="30" customHeight="1" thickBot="1" x14ac:dyDescent="0.3">
      <c r="A45" s="32" t="s">
        <v>0</v>
      </c>
      <c r="B45" s="246">
        <v>41914</v>
      </c>
      <c r="C45" s="38"/>
      <c r="D45" s="38"/>
      <c r="E45" s="120" t="s">
        <v>64</v>
      </c>
      <c r="F45" s="33" t="s">
        <v>59</v>
      </c>
      <c r="G45" s="34">
        <v>100</v>
      </c>
      <c r="H45" s="165">
        <f t="shared" si="1"/>
        <v>-320</v>
      </c>
      <c r="I45" s="86"/>
      <c r="J45" s="1"/>
      <c r="K45" s="1"/>
      <c r="L45" s="1"/>
    </row>
    <row r="46" spans="1:12" ht="30" customHeight="1" x14ac:dyDescent="0.25">
      <c r="A46" s="27" t="s">
        <v>0</v>
      </c>
      <c r="B46" s="238">
        <v>41925</v>
      </c>
      <c r="C46" s="21"/>
      <c r="D46" s="21"/>
      <c r="E46" s="117" t="s">
        <v>76</v>
      </c>
      <c r="F46" s="27" t="s">
        <v>77</v>
      </c>
      <c r="G46" s="118">
        <v>70</v>
      </c>
      <c r="H46" s="166">
        <f t="shared" si="1"/>
        <v>-390</v>
      </c>
      <c r="I46" s="86"/>
      <c r="J46" s="1"/>
      <c r="K46" s="1"/>
      <c r="L46" s="1"/>
    </row>
    <row r="47" spans="1:12" ht="30" customHeight="1" x14ac:dyDescent="0.25">
      <c r="A47" s="156"/>
      <c r="B47" s="239"/>
      <c r="C47" s="10"/>
      <c r="D47" s="10">
        <v>4</v>
      </c>
      <c r="E47" s="156"/>
      <c r="F47" s="77"/>
      <c r="G47" s="8"/>
      <c r="H47" s="157">
        <f t="shared" si="1"/>
        <v>-390</v>
      </c>
      <c r="I47" s="75"/>
      <c r="J47" s="12"/>
      <c r="K47" s="12"/>
      <c r="L47" s="1"/>
    </row>
    <row r="48" spans="1:12" ht="30" customHeight="1" x14ac:dyDescent="0.25">
      <c r="A48" s="827" t="s">
        <v>122</v>
      </c>
      <c r="B48" s="828"/>
      <c r="C48" s="828"/>
      <c r="D48" s="828"/>
      <c r="E48" s="828"/>
      <c r="F48" s="829"/>
      <c r="G48" s="169"/>
      <c r="H48" s="170">
        <v>1474.5</v>
      </c>
      <c r="I48" s="426"/>
      <c r="J48" s="427"/>
      <c r="K48" s="171"/>
      <c r="L48" s="172"/>
    </row>
    <row r="49" spans="1:12" ht="30" customHeight="1" x14ac:dyDescent="0.25">
      <c r="A49" s="643"/>
      <c r="B49" s="644"/>
      <c r="C49" s="644"/>
      <c r="D49" s="644"/>
      <c r="E49" s="645"/>
      <c r="F49" s="197" t="s">
        <v>120</v>
      </c>
      <c r="G49" s="159">
        <v>390</v>
      </c>
      <c r="H49" s="157">
        <f t="shared" ref="H49:H56" si="2">H48-G49</f>
        <v>1084.5</v>
      </c>
      <c r="I49" s="428" t="s">
        <v>145</v>
      </c>
      <c r="J49" s="18"/>
      <c r="K49" s="12"/>
      <c r="L49" s="1"/>
    </row>
    <row r="50" spans="1:12" ht="30" customHeight="1" x14ac:dyDescent="0.25">
      <c r="A50" s="156" t="s">
        <v>0</v>
      </c>
      <c r="B50" s="239">
        <v>41955</v>
      </c>
      <c r="C50" s="10">
        <v>608</v>
      </c>
      <c r="D50" s="10">
        <v>3</v>
      </c>
      <c r="E50" s="156" t="s">
        <v>119</v>
      </c>
      <c r="F50" s="156" t="s">
        <v>118</v>
      </c>
      <c r="G50" s="8">
        <v>100</v>
      </c>
      <c r="H50" s="157">
        <f t="shared" si="2"/>
        <v>984.5</v>
      </c>
      <c r="I50" s="69"/>
      <c r="J50" s="18"/>
      <c r="K50" s="12"/>
      <c r="L50" s="1"/>
    </row>
    <row r="51" spans="1:12" ht="48.75" customHeight="1" x14ac:dyDescent="0.25">
      <c r="A51" s="156" t="s">
        <v>0</v>
      </c>
      <c r="B51" s="239">
        <v>42051</v>
      </c>
      <c r="C51" s="10">
        <v>952</v>
      </c>
      <c r="D51" s="10">
        <v>5</v>
      </c>
      <c r="E51" s="156" t="s">
        <v>139</v>
      </c>
      <c r="F51" s="156" t="s">
        <v>186</v>
      </c>
      <c r="G51" s="8">
        <v>130</v>
      </c>
      <c r="H51" s="157">
        <f t="shared" si="2"/>
        <v>854.5</v>
      </c>
      <c r="I51" s="69"/>
      <c r="J51" s="18"/>
      <c r="K51" s="483" t="s">
        <v>381</v>
      </c>
      <c r="L51" s="1"/>
    </row>
    <row r="52" spans="1:12" ht="30" customHeight="1" x14ac:dyDescent="0.25">
      <c r="A52" s="156" t="s">
        <v>0</v>
      </c>
      <c r="B52" s="239">
        <v>42067</v>
      </c>
      <c r="C52" s="10">
        <v>612</v>
      </c>
      <c r="D52" s="10">
        <v>2</v>
      </c>
      <c r="E52" s="156" t="s">
        <v>159</v>
      </c>
      <c r="F52" s="156" t="s">
        <v>200</v>
      </c>
      <c r="G52" s="8">
        <v>100</v>
      </c>
      <c r="H52" s="157">
        <f t="shared" si="2"/>
        <v>754.5</v>
      </c>
      <c r="I52" s="805" t="s">
        <v>380</v>
      </c>
      <c r="J52" s="806"/>
      <c r="K52" s="482">
        <v>42194</v>
      </c>
      <c r="L52" s="1"/>
    </row>
    <row r="53" spans="1:12" ht="30" customHeight="1" x14ac:dyDescent="0.25">
      <c r="A53" s="156" t="s">
        <v>196</v>
      </c>
      <c r="B53" s="239">
        <v>42233</v>
      </c>
      <c r="C53" s="10">
        <v>619</v>
      </c>
      <c r="D53" s="10">
        <v>4</v>
      </c>
      <c r="E53" s="156" t="s">
        <v>112</v>
      </c>
      <c r="F53" s="156" t="s">
        <v>339</v>
      </c>
      <c r="G53" s="8">
        <v>150</v>
      </c>
      <c r="H53" s="157">
        <f t="shared" si="2"/>
        <v>604.5</v>
      </c>
      <c r="I53" s="75"/>
      <c r="J53" s="12"/>
      <c r="K53" s="12"/>
      <c r="L53" s="1"/>
    </row>
    <row r="54" spans="1:12" ht="30" customHeight="1" x14ac:dyDescent="0.25">
      <c r="A54" s="156" t="s">
        <v>196</v>
      </c>
      <c r="B54" s="239">
        <v>42234</v>
      </c>
      <c r="C54" s="10">
        <v>620</v>
      </c>
      <c r="D54" s="10">
        <v>3</v>
      </c>
      <c r="E54" s="156" t="s">
        <v>119</v>
      </c>
      <c r="F54" s="156" t="s">
        <v>339</v>
      </c>
      <c r="G54" s="8">
        <v>150</v>
      </c>
      <c r="H54" s="157">
        <f t="shared" si="2"/>
        <v>454.5</v>
      </c>
      <c r="I54" s="75"/>
      <c r="J54" s="12"/>
      <c r="K54" s="12"/>
      <c r="L54" s="1"/>
    </row>
    <row r="55" spans="1:12" ht="30" customHeight="1" x14ac:dyDescent="0.25">
      <c r="A55" s="156" t="s">
        <v>196</v>
      </c>
      <c r="B55" s="239">
        <v>42235</v>
      </c>
      <c r="C55" s="10">
        <v>621</v>
      </c>
      <c r="D55" s="10">
        <v>1</v>
      </c>
      <c r="E55" s="156" t="s">
        <v>401</v>
      </c>
      <c r="F55" s="156" t="s">
        <v>339</v>
      </c>
      <c r="G55" s="8">
        <v>150</v>
      </c>
      <c r="H55" s="157">
        <f t="shared" si="2"/>
        <v>304.5</v>
      </c>
      <c r="I55" s="75"/>
      <c r="J55" s="12"/>
      <c r="K55" s="12"/>
      <c r="L55" s="1"/>
    </row>
    <row r="56" spans="1:12" ht="30" customHeight="1" x14ac:dyDescent="0.25">
      <c r="A56" s="156" t="s">
        <v>196</v>
      </c>
      <c r="B56" s="239">
        <v>42235</v>
      </c>
      <c r="C56" s="10">
        <v>622</v>
      </c>
      <c r="D56" s="10">
        <v>5</v>
      </c>
      <c r="E56" s="156" t="s">
        <v>136</v>
      </c>
      <c r="F56" s="156" t="s">
        <v>339</v>
      </c>
      <c r="G56" s="8">
        <v>150</v>
      </c>
      <c r="H56" s="157">
        <f t="shared" si="2"/>
        <v>154.5</v>
      </c>
      <c r="I56" s="75"/>
      <c r="J56" s="12"/>
      <c r="K56" s="12"/>
      <c r="L56" s="1"/>
    </row>
    <row r="57" spans="1:12" ht="30" customHeight="1" x14ac:dyDescent="0.25">
      <c r="A57" s="156" t="s">
        <v>434</v>
      </c>
      <c r="B57" s="239">
        <v>42410</v>
      </c>
      <c r="C57" s="10">
        <v>1298</v>
      </c>
      <c r="D57" s="10">
        <v>4</v>
      </c>
      <c r="E57" s="156" t="s">
        <v>440</v>
      </c>
      <c r="F57" s="156" t="s">
        <v>339</v>
      </c>
      <c r="G57" s="8">
        <v>154.5</v>
      </c>
      <c r="H57" s="157">
        <f>H56-G57</f>
        <v>0</v>
      </c>
      <c r="I57" s="75"/>
      <c r="J57" s="12"/>
      <c r="K57" s="12"/>
      <c r="L57" s="1"/>
    </row>
    <row r="58" spans="1:12" ht="30" customHeight="1" x14ac:dyDescent="0.25">
      <c r="A58" s="156"/>
      <c r="B58" s="239"/>
      <c r="C58" s="10"/>
      <c r="D58" s="10"/>
      <c r="E58" s="156"/>
      <c r="F58" s="156"/>
      <c r="G58" s="8"/>
      <c r="H58" s="157">
        <f t="shared" ref="H58:H59" si="3">H57-G58</f>
        <v>0</v>
      </c>
      <c r="I58" s="75"/>
      <c r="J58" s="12"/>
      <c r="K58" s="12"/>
      <c r="L58" s="1"/>
    </row>
    <row r="59" spans="1:12" ht="30" customHeight="1" x14ac:dyDescent="0.25">
      <c r="A59" s="160"/>
      <c r="B59" s="253"/>
      <c r="C59" s="161"/>
      <c r="D59" s="161"/>
      <c r="E59" s="126"/>
      <c r="F59" s="160"/>
      <c r="G59" s="162"/>
      <c r="H59" s="157">
        <f t="shared" si="3"/>
        <v>0</v>
      </c>
      <c r="I59" s="75"/>
      <c r="J59" s="12"/>
      <c r="K59" s="12"/>
      <c r="L59" s="12"/>
    </row>
    <row r="60" spans="1:12" ht="30" customHeight="1" thickBot="1" x14ac:dyDescent="0.3">
      <c r="A60" s="146"/>
      <c r="B60" s="258"/>
      <c r="C60" s="147"/>
      <c r="D60" s="147"/>
      <c r="E60" s="148"/>
      <c r="F60" s="148"/>
      <c r="G60" s="149"/>
      <c r="H60" s="146"/>
      <c r="I60" s="72"/>
      <c r="J60" s="12"/>
      <c r="K60" s="12"/>
      <c r="L60" s="12"/>
    </row>
    <row r="61" spans="1:12" ht="15.75" thickTop="1" x14ac:dyDescent="0.25"/>
  </sheetData>
  <mergeCells count="21">
    <mergeCell ref="I52:J52"/>
    <mergeCell ref="A3:B3"/>
    <mergeCell ref="E3:F3"/>
    <mergeCell ref="C5:C6"/>
    <mergeCell ref="A32:B32"/>
    <mergeCell ref="B19:B21"/>
    <mergeCell ref="F10:F11"/>
    <mergeCell ref="F12:F14"/>
    <mergeCell ref="F15:F17"/>
    <mergeCell ref="F5:F6"/>
    <mergeCell ref="C7:C9"/>
    <mergeCell ref="F7:F9"/>
    <mergeCell ref="J21:K23"/>
    <mergeCell ref="E29:G29"/>
    <mergeCell ref="A48:F48"/>
    <mergeCell ref="A49:E49"/>
    <mergeCell ref="F19:F21"/>
    <mergeCell ref="A19:A21"/>
    <mergeCell ref="A40:B40"/>
    <mergeCell ref="C40:D40"/>
    <mergeCell ref="E40:F40"/>
  </mergeCells>
  <pageMargins left="0.51181102362204722" right="0.51181102362204722" top="0.78740157480314965" bottom="0.78740157480314965" header="0.31496062992125984" footer="0.31496062992125984"/>
  <pageSetup paperSize="9" scale="65" orientation="landscape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2:L42"/>
  <sheetViews>
    <sheetView topLeftCell="C28" workbookViewId="0">
      <selection activeCell="H46" sqref="H46"/>
    </sheetView>
  </sheetViews>
  <sheetFormatPr defaultRowHeight="15" x14ac:dyDescent="0.25"/>
  <cols>
    <col min="1" max="1" width="19.140625" style="291" customWidth="1"/>
    <col min="2" max="2" width="20.28515625" style="291" customWidth="1"/>
    <col min="3" max="3" width="10.42578125" style="291" customWidth="1"/>
    <col min="4" max="4" width="14.42578125" style="291" customWidth="1"/>
    <col min="5" max="5" width="38" style="291" customWidth="1"/>
    <col min="6" max="6" width="25.28515625" style="291" customWidth="1"/>
    <col min="7" max="7" width="20.85546875" style="291" customWidth="1"/>
    <col min="8" max="8" width="21.140625" style="291" customWidth="1"/>
    <col min="9" max="9" width="20.7109375" style="291" customWidth="1"/>
    <col min="10" max="10" width="13.7109375" style="291" customWidth="1"/>
    <col min="11" max="11" width="25.28515625" style="291" customWidth="1"/>
    <col min="12" max="12" width="14.28515625" style="291" customWidth="1"/>
    <col min="13" max="16384" width="9.140625" style="291"/>
  </cols>
  <sheetData>
    <row r="2" spans="1:11" ht="30" customHeight="1" x14ac:dyDescent="0.25">
      <c r="A2" s="1"/>
      <c r="B2" s="6"/>
      <c r="C2" s="15"/>
      <c r="D2" s="15"/>
      <c r="E2" s="1"/>
      <c r="F2" s="1"/>
      <c r="G2" s="136" t="s">
        <v>106</v>
      </c>
      <c r="H2" s="137">
        <v>42138</v>
      </c>
      <c r="I2" s="20"/>
      <c r="J2" s="1"/>
      <c r="K2" s="1"/>
    </row>
    <row r="3" spans="1:11" ht="30" customHeight="1" x14ac:dyDescent="0.25">
      <c r="A3" s="547" t="s">
        <v>151</v>
      </c>
      <c r="B3" s="547"/>
      <c r="C3" s="547"/>
      <c r="D3" s="547"/>
      <c r="E3" s="547"/>
      <c r="F3" s="547"/>
      <c r="G3" s="111"/>
      <c r="H3" s="112">
        <v>5309.71</v>
      </c>
      <c r="I3" s="553" t="s">
        <v>153</v>
      </c>
      <c r="J3" s="553"/>
      <c r="K3" s="1"/>
    </row>
    <row r="4" spans="1:11" ht="30" customHeight="1" x14ac:dyDescent="0.25">
      <c r="A4" s="9" t="s">
        <v>3</v>
      </c>
      <c r="B4" s="9" t="s">
        <v>1</v>
      </c>
      <c r="C4" s="13" t="s">
        <v>6</v>
      </c>
      <c r="D4" s="151" t="s">
        <v>111</v>
      </c>
      <c r="E4" s="5"/>
      <c r="F4" s="5" t="s">
        <v>5</v>
      </c>
      <c r="G4" s="16" t="s">
        <v>2</v>
      </c>
      <c r="H4" s="109">
        <v>5309.71</v>
      </c>
      <c r="I4" s="553"/>
      <c r="J4" s="553"/>
      <c r="K4" s="1"/>
    </row>
    <row r="5" spans="1:11" ht="30" customHeight="1" x14ac:dyDescent="0.25">
      <c r="A5" s="210" t="s">
        <v>142</v>
      </c>
      <c r="B5" s="211">
        <v>41906</v>
      </c>
      <c r="C5" s="212"/>
      <c r="D5" s="212"/>
      <c r="E5" s="210" t="s">
        <v>141</v>
      </c>
      <c r="F5" s="210"/>
      <c r="G5" s="213">
        <v>274.44</v>
      </c>
      <c r="H5" s="340">
        <v>5035.2700000000004</v>
      </c>
      <c r="I5" s="558">
        <v>3965.26</v>
      </c>
      <c r="J5" s="559"/>
      <c r="K5" s="1"/>
    </row>
    <row r="6" spans="1:11" ht="30" customHeight="1" x14ac:dyDescent="0.25">
      <c r="A6" s="210" t="s">
        <v>142</v>
      </c>
      <c r="B6" s="211">
        <v>41978</v>
      </c>
      <c r="C6" s="212"/>
      <c r="D6" s="212"/>
      <c r="E6" s="210" t="s">
        <v>141</v>
      </c>
      <c r="F6" s="210"/>
      <c r="G6" s="213">
        <v>1135.6099999999999</v>
      </c>
      <c r="H6" s="340">
        <v>3899.66</v>
      </c>
      <c r="I6" s="20"/>
      <c r="J6" s="1"/>
      <c r="K6" s="1">
        <v>2759.87</v>
      </c>
    </row>
    <row r="7" spans="1:11" ht="30" customHeight="1" x14ac:dyDescent="0.25">
      <c r="A7" s="549"/>
      <c r="B7" s="239"/>
      <c r="C7" s="10"/>
      <c r="D7" s="10"/>
      <c r="E7" s="544" t="s">
        <v>152</v>
      </c>
      <c r="F7" s="545"/>
      <c r="G7" s="8">
        <v>8</v>
      </c>
      <c r="H7" s="340">
        <v>3891.66</v>
      </c>
      <c r="I7" s="20"/>
      <c r="J7" s="1"/>
      <c r="K7" s="1">
        <v>1110.31</v>
      </c>
    </row>
    <row r="8" spans="1:11" ht="30" customHeight="1" x14ac:dyDescent="0.25">
      <c r="A8" s="210" t="s">
        <v>0</v>
      </c>
      <c r="B8" s="211">
        <v>42033</v>
      </c>
      <c r="C8" s="212"/>
      <c r="D8" s="212"/>
      <c r="E8" s="210" t="s">
        <v>141</v>
      </c>
      <c r="F8" s="210"/>
      <c r="G8" s="213">
        <v>184.75</v>
      </c>
      <c r="H8" s="340">
        <v>3706.91</v>
      </c>
      <c r="I8" s="20"/>
      <c r="J8" s="1"/>
      <c r="K8" s="1">
        <v>184.75</v>
      </c>
    </row>
    <row r="9" spans="1:11" ht="47.25" customHeight="1" x14ac:dyDescent="0.25">
      <c r="A9" s="549" t="s">
        <v>0</v>
      </c>
      <c r="B9" s="239">
        <v>42126</v>
      </c>
      <c r="C9" s="10">
        <v>831</v>
      </c>
      <c r="D9" s="10"/>
      <c r="E9" s="408" t="s">
        <v>180</v>
      </c>
      <c r="F9" s="408" t="s">
        <v>181</v>
      </c>
      <c r="G9" s="409">
        <v>1403.79</v>
      </c>
      <c r="H9" s="340">
        <v>2303.12</v>
      </c>
      <c r="I9" s="20"/>
      <c r="J9" s="1"/>
      <c r="K9" s="1">
        <v>1464.81</v>
      </c>
    </row>
    <row r="10" spans="1:11" ht="30" customHeight="1" x14ac:dyDescent="0.25">
      <c r="A10" s="549" t="s">
        <v>0</v>
      </c>
      <c r="B10" s="239">
        <v>42068</v>
      </c>
      <c r="C10" s="10">
        <v>833</v>
      </c>
      <c r="D10" s="10"/>
      <c r="E10" s="549" t="s">
        <v>201</v>
      </c>
      <c r="F10" s="549" t="s">
        <v>202</v>
      </c>
      <c r="G10" s="8">
        <v>76.099999999999994</v>
      </c>
      <c r="H10" s="340">
        <v>2227.02</v>
      </c>
      <c r="I10" s="20"/>
      <c r="J10" s="1"/>
      <c r="K10" s="1"/>
    </row>
    <row r="11" spans="1:11" ht="30" customHeight="1" x14ac:dyDescent="0.25">
      <c r="A11" s="549" t="s">
        <v>196</v>
      </c>
      <c r="B11" s="239">
        <v>42095</v>
      </c>
      <c r="C11" s="10">
        <v>835</v>
      </c>
      <c r="D11" s="10"/>
      <c r="E11" s="549" t="s">
        <v>271</v>
      </c>
      <c r="F11" s="549" t="s">
        <v>272</v>
      </c>
      <c r="G11" s="8"/>
      <c r="H11" s="340">
        <v>2227.02</v>
      </c>
      <c r="I11" s="20"/>
      <c r="J11" s="1"/>
      <c r="K11" s="1"/>
    </row>
    <row r="12" spans="1:11" ht="30" customHeight="1" x14ac:dyDescent="0.25">
      <c r="A12" s="77"/>
      <c r="B12" s="239"/>
      <c r="C12" s="78"/>
      <c r="D12" s="78"/>
      <c r="E12" s="77"/>
      <c r="F12" s="549"/>
      <c r="G12" s="8"/>
      <c r="H12" s="340">
        <v>2227.02</v>
      </c>
      <c r="I12" s="20"/>
      <c r="J12" s="1"/>
      <c r="K12" s="1"/>
    </row>
    <row r="13" spans="1:11" ht="30" customHeight="1" x14ac:dyDescent="0.25">
      <c r="A13" s="549" t="s">
        <v>196</v>
      </c>
      <c r="B13" s="239">
        <v>42095</v>
      </c>
      <c r="C13" s="10">
        <v>836</v>
      </c>
      <c r="D13" s="10"/>
      <c r="E13" s="486" t="s">
        <v>269</v>
      </c>
      <c r="F13" s="549" t="s">
        <v>270</v>
      </c>
      <c r="G13" s="8">
        <v>9.1999999999999993</v>
      </c>
      <c r="H13" s="340">
        <v>2217.8200000000002</v>
      </c>
      <c r="I13" s="20"/>
      <c r="J13" s="1"/>
      <c r="K13" s="1"/>
    </row>
    <row r="14" spans="1:11" ht="30" customHeight="1" x14ac:dyDescent="0.25">
      <c r="A14" s="210" t="s">
        <v>196</v>
      </c>
      <c r="B14" s="211">
        <v>42129</v>
      </c>
      <c r="C14" s="212">
        <v>841</v>
      </c>
      <c r="D14" s="212"/>
      <c r="E14" s="210" t="s">
        <v>286</v>
      </c>
      <c r="F14" s="210" t="s">
        <v>287</v>
      </c>
      <c r="G14" s="213">
        <v>527.91999999999996</v>
      </c>
      <c r="H14" s="340">
        <v>1689.9</v>
      </c>
      <c r="I14" s="20"/>
      <c r="J14" s="1"/>
      <c r="K14" s="1"/>
    </row>
    <row r="15" spans="1:11" ht="30" customHeight="1" x14ac:dyDescent="0.25">
      <c r="A15" s="549" t="s">
        <v>196</v>
      </c>
      <c r="B15" s="239">
        <v>42137</v>
      </c>
      <c r="C15" s="10">
        <v>843</v>
      </c>
      <c r="D15" s="10"/>
      <c r="E15" s="549" t="s">
        <v>286</v>
      </c>
      <c r="F15" s="549" t="s">
        <v>287</v>
      </c>
      <c r="G15" s="8">
        <v>67.58</v>
      </c>
      <c r="H15" s="340">
        <v>1622.32</v>
      </c>
      <c r="I15" s="20"/>
      <c r="J15" s="1"/>
      <c r="K15" s="1"/>
    </row>
    <row r="16" spans="1:11" ht="30" customHeight="1" x14ac:dyDescent="0.25">
      <c r="A16" s="550"/>
      <c r="B16" s="551"/>
      <c r="C16" s="551"/>
      <c r="D16" s="551"/>
      <c r="E16" s="551"/>
      <c r="F16" s="551"/>
      <c r="G16" s="552"/>
      <c r="H16" s="354">
        <v>889.49</v>
      </c>
      <c r="I16" s="560" t="s">
        <v>295</v>
      </c>
      <c r="J16" s="561"/>
      <c r="K16" s="1"/>
    </row>
    <row r="17" spans="1:12" ht="30" customHeight="1" x14ac:dyDescent="0.25">
      <c r="A17" s="549" t="s">
        <v>196</v>
      </c>
      <c r="B17" s="239">
        <v>42146</v>
      </c>
      <c r="C17" s="10">
        <v>846</v>
      </c>
      <c r="D17" s="10"/>
      <c r="E17" s="549" t="s">
        <v>302</v>
      </c>
      <c r="F17" s="549" t="s">
        <v>303</v>
      </c>
      <c r="G17" s="386">
        <v>50</v>
      </c>
      <c r="H17" s="340">
        <v>839.49</v>
      </c>
      <c r="I17" s="554" t="s">
        <v>327</v>
      </c>
      <c r="J17" s="555"/>
      <c r="K17" s="1"/>
    </row>
    <row r="18" spans="1:12" ht="30" customHeight="1" x14ac:dyDescent="0.25">
      <c r="A18" s="544" t="s">
        <v>518</v>
      </c>
      <c r="B18" s="546"/>
      <c r="C18" s="546"/>
      <c r="D18" s="546"/>
      <c r="E18" s="546"/>
      <c r="F18" s="546"/>
      <c r="G18" s="545"/>
      <c r="H18" s="406">
        <v>5038.26</v>
      </c>
      <c r="I18" s="397" t="s">
        <v>403</v>
      </c>
      <c r="J18" s="1"/>
      <c r="K18" s="1"/>
    </row>
    <row r="19" spans="1:12" ht="30" customHeight="1" x14ac:dyDescent="0.25">
      <c r="A19" s="556" t="s">
        <v>519</v>
      </c>
      <c r="B19" s="557"/>
      <c r="C19" s="557"/>
      <c r="D19" s="557"/>
      <c r="E19" s="557"/>
      <c r="F19" s="557"/>
      <c r="G19" s="484"/>
      <c r="H19" s="340">
        <v>5038.26</v>
      </c>
      <c r="I19" s="397"/>
      <c r="J19" s="1"/>
      <c r="K19" s="1"/>
    </row>
    <row r="20" spans="1:12" ht="30" customHeight="1" x14ac:dyDescent="0.25">
      <c r="A20" s="577" t="s">
        <v>356</v>
      </c>
      <c r="B20" s="578"/>
      <c r="C20" s="578"/>
      <c r="D20" s="578"/>
      <c r="E20" s="578"/>
      <c r="F20" s="579"/>
      <c r="G20" s="484">
        <v>2723.05</v>
      </c>
      <c r="H20" s="429">
        <v>7761.31</v>
      </c>
      <c r="I20" s="564" t="s">
        <v>520</v>
      </c>
      <c r="J20" s="565"/>
      <c r="K20" s="564" t="s">
        <v>521</v>
      </c>
      <c r="L20" s="565"/>
    </row>
    <row r="21" spans="1:12" ht="38.25" customHeight="1" x14ac:dyDescent="0.25">
      <c r="A21" s="568" t="s">
        <v>383</v>
      </c>
      <c r="B21" s="569"/>
      <c r="C21" s="569"/>
      <c r="D21" s="569"/>
      <c r="E21" s="569"/>
      <c r="F21" s="569"/>
      <c r="G21" s="570"/>
      <c r="H21" s="494">
        <v>3000</v>
      </c>
      <c r="I21" s="488"/>
      <c r="J21" s="489" t="s">
        <v>4</v>
      </c>
      <c r="K21" s="488"/>
      <c r="L21" s="489" t="s">
        <v>4</v>
      </c>
    </row>
    <row r="22" spans="1:12" ht="30" customHeight="1" x14ac:dyDescent="0.25">
      <c r="A22" s="571" t="s">
        <v>336</v>
      </c>
      <c r="B22" s="572"/>
      <c r="C22" s="572"/>
      <c r="D22" s="572"/>
      <c r="E22" s="572"/>
      <c r="F22" s="572"/>
      <c r="G22" s="573"/>
      <c r="H22" s="485">
        <v>2500</v>
      </c>
      <c r="I22" s="490"/>
      <c r="J22" s="491">
        <v>4184.87</v>
      </c>
      <c r="K22" s="490"/>
      <c r="L22" s="491">
        <v>0</v>
      </c>
    </row>
    <row r="23" spans="1:12" ht="30" customHeight="1" x14ac:dyDescent="0.25">
      <c r="A23" s="574"/>
      <c r="B23" s="575"/>
      <c r="C23" s="575"/>
      <c r="D23" s="575"/>
      <c r="E23" s="575"/>
      <c r="F23" s="575"/>
      <c r="G23" s="576"/>
      <c r="H23" s="406">
        <v>2261.31</v>
      </c>
      <c r="I23" s="487"/>
      <c r="J23" s="492">
        <v>4184.87</v>
      </c>
      <c r="K23" s="487"/>
      <c r="L23" s="492">
        <v>0</v>
      </c>
    </row>
    <row r="24" spans="1:12" ht="30" customHeight="1" x14ac:dyDescent="0.25">
      <c r="A24" s="410"/>
      <c r="B24" s="366">
        <v>42173</v>
      </c>
      <c r="C24" s="410"/>
      <c r="D24" s="410"/>
      <c r="E24" s="410" t="s">
        <v>337</v>
      </c>
      <c r="F24" s="410"/>
      <c r="G24" s="365">
        <v>377</v>
      </c>
      <c r="H24" s="340">
        <v>1884.31</v>
      </c>
      <c r="I24" s="487"/>
      <c r="J24" s="492">
        <v>4184.87</v>
      </c>
      <c r="K24" s="487"/>
      <c r="L24" s="492">
        <v>0</v>
      </c>
    </row>
    <row r="25" spans="1:12" ht="30" customHeight="1" x14ac:dyDescent="0.25">
      <c r="A25" s="403" t="s">
        <v>196</v>
      </c>
      <c r="B25" s="366">
        <v>42186</v>
      </c>
      <c r="C25" s="403"/>
      <c r="D25" s="403"/>
      <c r="E25" s="566" t="s">
        <v>357</v>
      </c>
      <c r="F25" s="567"/>
      <c r="G25" s="364">
        <v>180.23</v>
      </c>
      <c r="H25" s="340">
        <v>1704.08</v>
      </c>
      <c r="I25" s="487"/>
      <c r="J25" s="492">
        <v>4184.87</v>
      </c>
      <c r="K25" s="487"/>
      <c r="L25" s="492">
        <v>0</v>
      </c>
    </row>
    <row r="26" spans="1:12" ht="30" customHeight="1" x14ac:dyDescent="0.25">
      <c r="A26" s="403" t="s">
        <v>196</v>
      </c>
      <c r="B26" s="366">
        <v>42207</v>
      </c>
      <c r="C26" s="403"/>
      <c r="D26" s="403"/>
      <c r="E26" s="403" t="s">
        <v>400</v>
      </c>
      <c r="F26" s="403"/>
      <c r="G26" s="364">
        <v>4.26</v>
      </c>
      <c r="H26" s="340">
        <v>1699.82</v>
      </c>
      <c r="I26" s="487"/>
      <c r="J26" s="492">
        <v>4184.87</v>
      </c>
      <c r="K26" s="487"/>
      <c r="L26" s="492">
        <v>0</v>
      </c>
    </row>
    <row r="27" spans="1:12" ht="30" customHeight="1" x14ac:dyDescent="0.25">
      <c r="A27" s="403"/>
      <c r="B27" s="366"/>
      <c r="C27" s="403"/>
      <c r="D27" s="403"/>
      <c r="E27" s="403" t="s">
        <v>418</v>
      </c>
      <c r="F27" s="403"/>
      <c r="G27" s="364">
        <v>146.34</v>
      </c>
      <c r="H27" s="340">
        <v>1553.48</v>
      </c>
      <c r="I27" s="487"/>
      <c r="J27" s="492">
        <v>4184.87</v>
      </c>
      <c r="K27" s="487"/>
      <c r="L27" s="492">
        <v>0</v>
      </c>
    </row>
    <row r="28" spans="1:12" ht="30" customHeight="1" x14ac:dyDescent="0.25">
      <c r="A28" s="403"/>
      <c r="B28" s="366"/>
      <c r="C28" s="403"/>
      <c r="D28" s="403"/>
      <c r="E28" s="403" t="s">
        <v>425</v>
      </c>
      <c r="F28" s="403"/>
      <c r="G28" s="508">
        <v>456</v>
      </c>
      <c r="H28" s="340">
        <v>1097.48</v>
      </c>
      <c r="I28" s="487"/>
      <c r="J28" s="492">
        <v>4184.87</v>
      </c>
      <c r="K28" s="487"/>
      <c r="L28" s="492">
        <v>0</v>
      </c>
    </row>
    <row r="29" spans="1:12" ht="30" customHeight="1" x14ac:dyDescent="0.25">
      <c r="A29" s="403"/>
      <c r="B29" s="366"/>
      <c r="C29" s="403"/>
      <c r="D29" s="403"/>
      <c r="E29" s="403" t="s">
        <v>426</v>
      </c>
      <c r="F29" s="403"/>
      <c r="G29" s="364">
        <v>51.51</v>
      </c>
      <c r="H29" s="340">
        <v>1045.97</v>
      </c>
      <c r="I29" s="487"/>
      <c r="J29" s="492">
        <v>4184.87</v>
      </c>
      <c r="K29" s="487"/>
      <c r="L29" s="492">
        <v>0</v>
      </c>
    </row>
    <row r="30" spans="1:12" ht="30" customHeight="1" x14ac:dyDescent="0.25">
      <c r="A30" s="403"/>
      <c r="B30" s="366"/>
      <c r="C30" s="403"/>
      <c r="D30" s="403"/>
      <c r="E30" s="403" t="s">
        <v>427</v>
      </c>
      <c r="F30" s="403"/>
      <c r="G30" s="364">
        <v>284.82</v>
      </c>
      <c r="H30" s="340">
        <v>761.15</v>
      </c>
      <c r="I30" s="487"/>
      <c r="J30" s="492">
        <v>4184.87</v>
      </c>
      <c r="K30" s="487"/>
      <c r="L30" s="492">
        <v>0</v>
      </c>
    </row>
    <row r="31" spans="1:12" ht="30" customHeight="1" x14ac:dyDescent="0.25">
      <c r="A31" s="403"/>
      <c r="B31" s="366"/>
      <c r="C31" s="403"/>
      <c r="D31" s="403"/>
      <c r="E31" s="403" t="s">
        <v>429</v>
      </c>
      <c r="F31" s="403"/>
      <c r="G31" s="508">
        <v>56</v>
      </c>
      <c r="H31" s="340">
        <v>705.15</v>
      </c>
      <c r="I31" s="487"/>
      <c r="J31" s="492">
        <v>4184.87</v>
      </c>
      <c r="K31" s="487"/>
      <c r="L31" s="492">
        <v>0</v>
      </c>
    </row>
    <row r="32" spans="1:12" ht="30" customHeight="1" x14ac:dyDescent="0.25">
      <c r="A32" s="547"/>
      <c r="B32" s="547"/>
      <c r="C32" s="547"/>
      <c r="D32" s="547"/>
      <c r="E32" s="547" t="s">
        <v>522</v>
      </c>
      <c r="F32" s="547"/>
      <c r="G32" s="538"/>
      <c r="H32" s="340">
        <v>7573.51</v>
      </c>
      <c r="I32" s="596"/>
      <c r="J32" s="597">
        <v>4184.87</v>
      </c>
      <c r="K32" s="596"/>
      <c r="L32" s="597">
        <v>0</v>
      </c>
    </row>
    <row r="33" spans="1:12" ht="30" customHeight="1" x14ac:dyDescent="0.25">
      <c r="A33" s="562" t="s">
        <v>196</v>
      </c>
      <c r="B33" s="580">
        <v>42339</v>
      </c>
      <c r="C33" s="563"/>
      <c r="D33" s="563"/>
      <c r="E33" s="563" t="s">
        <v>523</v>
      </c>
      <c r="F33" s="563"/>
      <c r="G33" s="548">
        <v>323.26</v>
      </c>
      <c r="H33" s="340">
        <v>7250.25</v>
      </c>
      <c r="I33" s="596"/>
      <c r="J33" s="597">
        <v>4184.87</v>
      </c>
      <c r="K33" s="596"/>
      <c r="L33" s="597">
        <v>0</v>
      </c>
    </row>
    <row r="34" spans="1:12" ht="30" customHeight="1" x14ac:dyDescent="0.25">
      <c r="A34" s="403" t="s">
        <v>196</v>
      </c>
      <c r="B34" s="366">
        <v>42339</v>
      </c>
      <c r="C34" s="403"/>
      <c r="D34" s="403"/>
      <c r="E34" s="403" t="s">
        <v>524</v>
      </c>
      <c r="F34" s="403"/>
      <c r="G34" s="364">
        <v>218.55</v>
      </c>
      <c r="H34" s="340">
        <v>7031.7</v>
      </c>
      <c r="I34" s="598"/>
      <c r="J34" s="599">
        <v>4184.87</v>
      </c>
      <c r="K34" s="596"/>
      <c r="L34" s="597">
        <v>0</v>
      </c>
    </row>
    <row r="35" spans="1:12" ht="30" customHeight="1" x14ac:dyDescent="0.25">
      <c r="A35" s="403" t="s">
        <v>196</v>
      </c>
      <c r="B35" s="366">
        <v>42339</v>
      </c>
      <c r="C35" s="403"/>
      <c r="D35" s="403"/>
      <c r="E35" s="403" t="s">
        <v>525</v>
      </c>
      <c r="F35" s="403"/>
      <c r="G35" s="364">
        <v>141</v>
      </c>
      <c r="H35" s="340">
        <v>6890.7</v>
      </c>
      <c r="I35" s="592" t="s">
        <v>526</v>
      </c>
      <c r="J35" s="595">
        <v>1967.91</v>
      </c>
      <c r="K35" s="591">
        <f>J35-179.4-2100</f>
        <v>-311.49</v>
      </c>
      <c r="L35" s="493"/>
    </row>
    <row r="36" spans="1:12" ht="30" customHeight="1" x14ac:dyDescent="0.25">
      <c r="A36" s="581" t="s">
        <v>196</v>
      </c>
      <c r="B36" s="582">
        <v>42376</v>
      </c>
      <c r="C36" s="581"/>
      <c r="D36" s="581"/>
      <c r="E36" s="581" t="s">
        <v>418</v>
      </c>
      <c r="F36" s="581"/>
      <c r="G36" s="590">
        <v>38.880000000000003</v>
      </c>
      <c r="H36" s="583">
        <v>6851.82</v>
      </c>
      <c r="I36" s="593" t="s">
        <v>527</v>
      </c>
      <c r="J36" s="594">
        <v>4184.87</v>
      </c>
      <c r="K36" s="446">
        <v>4184.87</v>
      </c>
      <c r="L36" s="447"/>
    </row>
    <row r="37" spans="1:12" ht="30" customHeight="1" x14ac:dyDescent="0.25">
      <c r="A37" s="403" t="s">
        <v>196</v>
      </c>
      <c r="B37" s="366">
        <v>42376</v>
      </c>
      <c r="C37" s="403"/>
      <c r="D37" s="403"/>
      <c r="E37" s="403" t="s">
        <v>528</v>
      </c>
      <c r="F37" s="584"/>
      <c r="G37" s="584">
        <v>73.86</v>
      </c>
      <c r="H37" s="585">
        <v>6777.96</v>
      </c>
      <c r="I37" s="588" t="s">
        <v>529</v>
      </c>
      <c r="J37" s="589">
        <v>0</v>
      </c>
    </row>
    <row r="38" spans="1:12" x14ac:dyDescent="0.25">
      <c r="A38" s="403" t="s">
        <v>196</v>
      </c>
      <c r="B38" s="366">
        <v>42377</v>
      </c>
      <c r="C38" s="403"/>
      <c r="D38" s="403"/>
      <c r="E38" s="403" t="s">
        <v>530</v>
      </c>
      <c r="F38" s="584"/>
      <c r="G38" s="584">
        <v>625.17999999999995</v>
      </c>
      <c r="H38" s="585">
        <v>6152.78</v>
      </c>
      <c r="I38" s="588" t="s">
        <v>531</v>
      </c>
      <c r="J38" s="589">
        <v>6152.78</v>
      </c>
    </row>
    <row r="39" spans="1:12" x14ac:dyDescent="0.25">
      <c r="A39" s="403" t="s">
        <v>196</v>
      </c>
      <c r="B39" s="602">
        <v>42401</v>
      </c>
      <c r="C39" s="403"/>
      <c r="D39" s="403"/>
      <c r="E39" s="403" t="s">
        <v>533</v>
      </c>
      <c r="F39" s="586"/>
      <c r="G39" s="584">
        <v>179.4</v>
      </c>
      <c r="H39" s="585">
        <f>H38-G39</f>
        <v>5973.38</v>
      </c>
      <c r="I39" s="403"/>
      <c r="J39" s="403"/>
    </row>
    <row r="40" spans="1:12" x14ac:dyDescent="0.25">
      <c r="A40" s="403"/>
      <c r="B40" s="403"/>
      <c r="C40" s="403"/>
      <c r="D40" s="403"/>
      <c r="E40" s="403" t="s">
        <v>536</v>
      </c>
      <c r="F40" s="587"/>
      <c r="G40" s="584">
        <v>2100</v>
      </c>
      <c r="H40" s="585">
        <f t="shared" ref="H40:H42" si="0">H39-G40</f>
        <v>3873.38</v>
      </c>
      <c r="I40" s="403" t="s">
        <v>143</v>
      </c>
      <c r="J40" s="403"/>
    </row>
    <row r="41" spans="1:12" x14ac:dyDescent="0.25">
      <c r="A41" s="403" t="s">
        <v>196</v>
      </c>
      <c r="B41" s="602">
        <v>42426</v>
      </c>
      <c r="C41" s="403"/>
      <c r="D41" s="403"/>
      <c r="E41" s="403" t="s">
        <v>429</v>
      </c>
      <c r="F41" s="586"/>
      <c r="G41" s="586">
        <v>36</v>
      </c>
      <c r="H41" s="585">
        <f t="shared" si="0"/>
        <v>3837.38</v>
      </c>
      <c r="I41" s="403"/>
      <c r="J41" s="403"/>
    </row>
    <row r="42" spans="1:12" x14ac:dyDescent="0.25">
      <c r="A42" s="403"/>
      <c r="B42" s="403"/>
      <c r="C42" s="403"/>
      <c r="D42" s="403"/>
      <c r="E42" s="403"/>
      <c r="F42" s="403"/>
      <c r="G42" s="403"/>
      <c r="H42" s="585">
        <f t="shared" si="0"/>
        <v>3837.38</v>
      </c>
      <c r="I42" s="403"/>
      <c r="J42" s="403"/>
    </row>
  </sheetData>
  <pageMargins left="0.51181102362204722" right="0.51181102362204722" top="0.78740157480314965" bottom="0.78740157480314965" header="0.31496062992125984" footer="0.31496062992125984"/>
  <pageSetup paperSize="9" scale="65" orientation="landscape" horizontalDpi="0" verticalDpi="0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2:K37"/>
  <sheetViews>
    <sheetView topLeftCell="A28" workbookViewId="0">
      <selection activeCell="J37" sqref="J37"/>
    </sheetView>
  </sheetViews>
  <sheetFormatPr defaultRowHeight="15" x14ac:dyDescent="0.25"/>
  <cols>
    <col min="1" max="1" width="16.85546875" customWidth="1"/>
    <col min="2" max="2" width="19" customWidth="1"/>
    <col min="5" max="5" width="32.140625" customWidth="1"/>
    <col min="6" max="6" width="18.140625" customWidth="1"/>
    <col min="7" max="7" width="20.140625" customWidth="1"/>
    <col min="8" max="8" width="23.28515625" customWidth="1"/>
    <col min="9" max="9" width="36.85546875" customWidth="1"/>
  </cols>
  <sheetData>
    <row r="2" spans="1:11" ht="30" customHeight="1" x14ac:dyDescent="0.25">
      <c r="A2" s="1"/>
      <c r="B2" s="6"/>
      <c r="C2" s="15"/>
      <c r="D2" s="15"/>
      <c r="E2" s="1"/>
      <c r="F2" s="143" t="s">
        <v>88</v>
      </c>
      <c r="G2" s="143" t="s">
        <v>89</v>
      </c>
      <c r="H2" s="495">
        <v>42194</v>
      </c>
      <c r="I2" s="20"/>
      <c r="J2" s="1"/>
      <c r="K2" s="1"/>
    </row>
    <row r="3" spans="1:11" ht="30" customHeight="1" x14ac:dyDescent="0.25">
      <c r="A3" s="632" t="s">
        <v>352</v>
      </c>
      <c r="B3" s="633"/>
      <c r="C3" s="633"/>
      <c r="D3" s="633"/>
      <c r="E3" s="633"/>
      <c r="F3" s="128">
        <v>576</v>
      </c>
      <c r="G3" s="129">
        <v>2499.4499999999998</v>
      </c>
      <c r="H3" s="112">
        <f>G3+F3</f>
        <v>3075.45</v>
      </c>
      <c r="I3" s="20"/>
      <c r="J3" s="1"/>
      <c r="K3" s="1"/>
    </row>
    <row r="4" spans="1:11" ht="30" customHeight="1" x14ac:dyDescent="0.25">
      <c r="A4" s="9" t="s">
        <v>3</v>
      </c>
      <c r="B4" s="9" t="s">
        <v>1</v>
      </c>
      <c r="C4" s="13" t="s">
        <v>6</v>
      </c>
      <c r="D4" s="13"/>
      <c r="E4" s="5" t="s">
        <v>61</v>
      </c>
      <c r="F4" s="5" t="s">
        <v>60</v>
      </c>
      <c r="G4" s="16" t="s">
        <v>2</v>
      </c>
      <c r="H4" s="109">
        <f>H3</f>
        <v>3075.45</v>
      </c>
      <c r="I4" s="20"/>
      <c r="J4" s="1"/>
      <c r="K4" s="1"/>
    </row>
    <row r="5" spans="1:11" ht="20.100000000000001" customHeight="1" x14ac:dyDescent="0.25">
      <c r="A5" s="405" t="s">
        <v>90</v>
      </c>
      <c r="B5" s="244" t="s">
        <v>99</v>
      </c>
      <c r="C5" s="78"/>
      <c r="D5" s="78"/>
      <c r="E5" s="77" t="s">
        <v>91</v>
      </c>
      <c r="F5" s="438" t="s">
        <v>98</v>
      </c>
      <c r="G5" s="439">
        <v>652.29999999999995</v>
      </c>
      <c r="H5" s="110">
        <f t="shared" ref="H5:H12" si="0">H4-G5</f>
        <v>2423.1499999999996</v>
      </c>
      <c r="I5" s="20"/>
      <c r="J5" s="1"/>
      <c r="K5" s="1"/>
    </row>
    <row r="6" spans="1:11" ht="20.100000000000001" customHeight="1" x14ac:dyDescent="0.25">
      <c r="A6" s="405" t="s">
        <v>90</v>
      </c>
      <c r="B6" s="244" t="s">
        <v>99</v>
      </c>
      <c r="C6" s="78"/>
      <c r="D6" s="78"/>
      <c r="E6" s="77" t="s">
        <v>92</v>
      </c>
      <c r="F6" s="438" t="s">
        <v>98</v>
      </c>
      <c r="G6" s="439">
        <v>400</v>
      </c>
      <c r="H6" s="110">
        <f t="shared" si="0"/>
        <v>2023.1499999999996</v>
      </c>
      <c r="I6" s="20"/>
      <c r="J6" s="1"/>
      <c r="K6" s="1"/>
    </row>
    <row r="7" spans="1:11" ht="20.100000000000001" customHeight="1" x14ac:dyDescent="0.25">
      <c r="A7" s="405" t="s">
        <v>90</v>
      </c>
      <c r="B7" s="244" t="s">
        <v>99</v>
      </c>
      <c r="C7" s="78"/>
      <c r="D7" s="78"/>
      <c r="E7" s="77" t="s">
        <v>134</v>
      </c>
      <c r="F7" s="438" t="s">
        <v>98</v>
      </c>
      <c r="G7" s="439">
        <v>400</v>
      </c>
      <c r="H7" s="110">
        <f t="shared" si="0"/>
        <v>1623.1499999999996</v>
      </c>
      <c r="I7" s="20"/>
      <c r="J7" s="1"/>
      <c r="K7" s="1"/>
    </row>
    <row r="8" spans="1:11" ht="20.100000000000001" customHeight="1" x14ac:dyDescent="0.25">
      <c r="A8" s="405" t="s">
        <v>90</v>
      </c>
      <c r="B8" s="244" t="s">
        <v>99</v>
      </c>
      <c r="C8" s="78"/>
      <c r="D8" s="78"/>
      <c r="E8" s="77" t="s">
        <v>93</v>
      </c>
      <c r="F8" s="438" t="s">
        <v>98</v>
      </c>
      <c r="G8" s="439">
        <v>300</v>
      </c>
      <c r="H8" s="110">
        <f t="shared" si="0"/>
        <v>1323.1499999999996</v>
      </c>
      <c r="I8" s="20"/>
      <c r="J8" s="1"/>
      <c r="K8" s="1"/>
    </row>
    <row r="9" spans="1:11" ht="20.100000000000001" customHeight="1" x14ac:dyDescent="0.25">
      <c r="A9" s="405" t="s">
        <v>90</v>
      </c>
      <c r="B9" s="244" t="s">
        <v>99</v>
      </c>
      <c r="C9" s="78"/>
      <c r="D9" s="78"/>
      <c r="E9" s="77" t="s">
        <v>94</v>
      </c>
      <c r="F9" s="438" t="s">
        <v>98</v>
      </c>
      <c r="G9" s="439">
        <v>400</v>
      </c>
      <c r="H9" s="110">
        <f t="shared" si="0"/>
        <v>923.14999999999964</v>
      </c>
      <c r="I9" s="20"/>
      <c r="J9" s="1"/>
      <c r="K9" s="1"/>
    </row>
    <row r="10" spans="1:11" ht="20.100000000000001" customHeight="1" x14ac:dyDescent="0.25">
      <c r="A10" s="405" t="s">
        <v>90</v>
      </c>
      <c r="B10" s="244" t="s">
        <v>99</v>
      </c>
      <c r="C10" s="78"/>
      <c r="D10" s="78"/>
      <c r="E10" s="77" t="s">
        <v>95</v>
      </c>
      <c r="F10" s="438" t="s">
        <v>98</v>
      </c>
      <c r="G10" s="439">
        <v>400</v>
      </c>
      <c r="H10" s="110">
        <f t="shared" si="0"/>
        <v>523.14999999999964</v>
      </c>
      <c r="I10" s="20"/>
      <c r="J10" s="1"/>
      <c r="K10" s="1"/>
    </row>
    <row r="11" spans="1:11" ht="20.100000000000001" customHeight="1" x14ac:dyDescent="0.25">
      <c r="A11" s="405" t="s">
        <v>90</v>
      </c>
      <c r="B11" s="244" t="s">
        <v>99</v>
      </c>
      <c r="C11" s="78"/>
      <c r="D11" s="78"/>
      <c r="E11" s="77" t="s">
        <v>96</v>
      </c>
      <c r="F11" s="438" t="s">
        <v>98</v>
      </c>
      <c r="G11" s="439">
        <v>400</v>
      </c>
      <c r="H11" s="110">
        <f t="shared" si="0"/>
        <v>123.14999999999964</v>
      </c>
      <c r="I11" s="20"/>
      <c r="J11" s="1"/>
      <c r="K11" s="1"/>
    </row>
    <row r="12" spans="1:11" ht="20.100000000000001" customHeight="1" x14ac:dyDescent="0.25">
      <c r="A12" s="405" t="s">
        <v>90</v>
      </c>
      <c r="B12" s="244" t="s">
        <v>99</v>
      </c>
      <c r="C12" s="78"/>
      <c r="D12" s="78"/>
      <c r="E12" s="77" t="s">
        <v>97</v>
      </c>
      <c r="F12" s="438" t="s">
        <v>98</v>
      </c>
      <c r="G12" s="439">
        <v>400</v>
      </c>
      <c r="H12" s="110">
        <f t="shared" si="0"/>
        <v>-276.85000000000036</v>
      </c>
      <c r="I12" s="20"/>
      <c r="J12" s="1"/>
      <c r="K12" s="1"/>
    </row>
    <row r="13" spans="1:11" ht="39.75" customHeight="1" x14ac:dyDescent="0.25">
      <c r="A13" s="836" t="s">
        <v>154</v>
      </c>
      <c r="B13" s="837"/>
      <c r="C13" s="837"/>
      <c r="D13" s="837"/>
      <c r="E13" s="837"/>
      <c r="F13" s="837"/>
      <c r="G13" s="838"/>
      <c r="H13" s="406">
        <v>1138.7</v>
      </c>
      <c r="I13" s="20"/>
      <c r="J13" s="1"/>
      <c r="K13" s="1"/>
    </row>
    <row r="14" spans="1:11" ht="30" customHeight="1" x14ac:dyDescent="0.25">
      <c r="A14" s="239" t="s">
        <v>0</v>
      </c>
      <c r="B14" s="239">
        <v>41665</v>
      </c>
      <c r="C14" s="10">
        <v>735</v>
      </c>
      <c r="D14" s="10"/>
      <c r="E14" s="237" t="s">
        <v>170</v>
      </c>
      <c r="F14" s="197" t="s">
        <v>171</v>
      </c>
      <c r="G14" s="240">
        <v>200</v>
      </c>
      <c r="H14" s="110">
        <f>H13-G14</f>
        <v>938.7</v>
      </c>
      <c r="I14" s="20"/>
      <c r="J14" s="1"/>
      <c r="K14" s="1"/>
    </row>
    <row r="15" spans="1:11" ht="41.25" customHeight="1" x14ac:dyDescent="0.25">
      <c r="A15" s="242" t="s">
        <v>0</v>
      </c>
      <c r="B15" s="239">
        <v>42039</v>
      </c>
      <c r="C15" s="10">
        <v>736</v>
      </c>
      <c r="D15" s="10"/>
      <c r="E15" s="237" t="s">
        <v>172</v>
      </c>
      <c r="F15" s="237"/>
      <c r="G15" s="241"/>
      <c r="H15" s="110">
        <f>H14-G15</f>
        <v>938.7</v>
      </c>
      <c r="I15" s="20"/>
      <c r="J15" s="1"/>
      <c r="K15" s="1"/>
    </row>
    <row r="16" spans="1:11" ht="30" customHeight="1" x14ac:dyDescent="0.25">
      <c r="A16" s="242" t="s">
        <v>0</v>
      </c>
      <c r="B16" s="239">
        <v>42061</v>
      </c>
      <c r="C16" s="10"/>
      <c r="D16" s="10"/>
      <c r="E16" s="237" t="s">
        <v>189</v>
      </c>
      <c r="F16" s="237" t="s">
        <v>188</v>
      </c>
      <c r="G16" s="241">
        <v>100</v>
      </c>
      <c r="H16" s="110">
        <f>H15-G16</f>
        <v>838.7</v>
      </c>
      <c r="I16" s="20"/>
      <c r="J16" s="1"/>
      <c r="K16" s="1"/>
    </row>
    <row r="17" spans="1:11" ht="30" customHeight="1" x14ac:dyDescent="0.25">
      <c r="A17" s="643"/>
      <c r="B17" s="644"/>
      <c r="C17" s="644"/>
      <c r="D17" s="644"/>
      <c r="E17" s="644"/>
      <c r="F17" s="645"/>
      <c r="G17" s="241"/>
      <c r="H17" s="406">
        <v>662.34</v>
      </c>
      <c r="I17" s="415" t="s">
        <v>341</v>
      </c>
      <c r="J17" s="1"/>
      <c r="K17" s="1"/>
    </row>
    <row r="18" spans="1:11" ht="29.25" customHeight="1" x14ac:dyDescent="0.25">
      <c r="A18" s="420" t="s">
        <v>0</v>
      </c>
      <c r="B18" s="420">
        <v>42181</v>
      </c>
      <c r="C18" s="421">
        <v>1102</v>
      </c>
      <c r="D18" s="421"/>
      <c r="E18" s="431" t="s">
        <v>344</v>
      </c>
      <c r="F18" s="440" t="s">
        <v>345</v>
      </c>
      <c r="G18" s="422">
        <v>499.5</v>
      </c>
      <c r="H18" s="110">
        <f>H17-G18</f>
        <v>162.84000000000003</v>
      </c>
      <c r="I18" s="20"/>
      <c r="J18" s="1"/>
      <c r="K18" s="1"/>
    </row>
    <row r="19" spans="1:11" ht="29.25" customHeight="1" x14ac:dyDescent="0.25">
      <c r="A19" s="433" t="s">
        <v>196</v>
      </c>
      <c r="B19" s="434">
        <v>42186</v>
      </c>
      <c r="C19" s="435"/>
      <c r="D19" s="435"/>
      <c r="E19" s="431" t="s">
        <v>344</v>
      </c>
      <c r="F19" s="440" t="s">
        <v>345</v>
      </c>
      <c r="G19" s="436">
        <v>100</v>
      </c>
      <c r="H19" s="110">
        <f>H18-G19</f>
        <v>62.840000000000032</v>
      </c>
      <c r="I19" s="20"/>
      <c r="J19" s="1"/>
      <c r="K19" s="1"/>
    </row>
    <row r="20" spans="1:11" ht="30" customHeight="1" x14ac:dyDescent="0.25">
      <c r="A20" s="678" t="s">
        <v>385</v>
      </c>
      <c r="B20" s="679"/>
      <c r="C20" s="679"/>
      <c r="D20" s="679"/>
      <c r="E20" s="679"/>
      <c r="F20" s="679"/>
      <c r="G20" s="680"/>
      <c r="H20" s="406">
        <v>1169.7</v>
      </c>
      <c r="I20" s="20"/>
      <c r="J20" s="1"/>
      <c r="K20" s="1"/>
    </row>
    <row r="21" spans="1:11" ht="30" customHeight="1" x14ac:dyDescent="0.25">
      <c r="A21" s="678" t="s">
        <v>386</v>
      </c>
      <c r="B21" s="679"/>
      <c r="C21" s="679"/>
      <c r="D21" s="679"/>
      <c r="E21" s="679"/>
      <c r="F21" s="679"/>
      <c r="G21" s="680"/>
      <c r="H21" s="406">
        <v>498.8</v>
      </c>
      <c r="I21" s="432"/>
      <c r="J21" s="1"/>
      <c r="K21" s="1"/>
    </row>
    <row r="22" spans="1:11" ht="30" customHeight="1" x14ac:dyDescent="0.25">
      <c r="A22" s="833" t="s">
        <v>353</v>
      </c>
      <c r="B22" s="834"/>
      <c r="C22" s="834"/>
      <c r="D22" s="834"/>
      <c r="E22" s="834"/>
      <c r="F22" s="834"/>
      <c r="G22" s="835"/>
      <c r="H22" s="437">
        <f>H19+H20+H21</f>
        <v>1731.34</v>
      </c>
      <c r="I22" s="20"/>
      <c r="J22" s="1"/>
      <c r="K22" s="1"/>
    </row>
    <row r="23" spans="1:11" ht="30" customHeight="1" x14ac:dyDescent="0.25">
      <c r="A23" s="77" t="s">
        <v>196</v>
      </c>
      <c r="B23" s="239">
        <v>42207</v>
      </c>
      <c r="C23" s="10"/>
      <c r="D23" s="10"/>
      <c r="E23" s="430" t="s">
        <v>399</v>
      </c>
      <c r="F23" s="430"/>
      <c r="G23" s="241">
        <v>47</v>
      </c>
      <c r="H23" s="110">
        <f>H22-G23</f>
        <v>1684.34</v>
      </c>
      <c r="I23" s="441" t="s">
        <v>354</v>
      </c>
      <c r="J23" s="1"/>
      <c r="K23" s="1"/>
    </row>
    <row r="24" spans="1:11" ht="30" customHeight="1" x14ac:dyDescent="0.25">
      <c r="A24" s="77" t="s">
        <v>196</v>
      </c>
      <c r="B24" s="239">
        <v>42215</v>
      </c>
      <c r="C24" s="10"/>
      <c r="D24" s="10"/>
      <c r="E24" s="430" t="s">
        <v>401</v>
      </c>
      <c r="F24" s="430"/>
      <c r="G24" s="241">
        <v>49.2</v>
      </c>
      <c r="H24" s="110">
        <f t="shared" ref="H24:H31" si="1">H23-G24</f>
        <v>1635.1399999999999</v>
      </c>
      <c r="I24" s="20"/>
      <c r="J24" s="1"/>
      <c r="K24" s="1"/>
    </row>
    <row r="25" spans="1:11" ht="30" customHeight="1" x14ac:dyDescent="0.25">
      <c r="A25" s="77" t="s">
        <v>196</v>
      </c>
      <c r="B25" s="239">
        <v>42227</v>
      </c>
      <c r="C25" s="10">
        <v>740</v>
      </c>
      <c r="D25" s="10"/>
      <c r="E25" s="430" t="s">
        <v>407</v>
      </c>
      <c r="F25" s="438" t="s">
        <v>98</v>
      </c>
      <c r="G25" s="241">
        <v>150</v>
      </c>
      <c r="H25" s="110">
        <f t="shared" si="1"/>
        <v>1485.1399999999999</v>
      </c>
      <c r="I25" s="20"/>
      <c r="J25" s="1"/>
      <c r="K25" s="1"/>
    </row>
    <row r="26" spans="1:11" ht="30" customHeight="1" x14ac:dyDescent="0.25">
      <c r="A26" s="77" t="s">
        <v>196</v>
      </c>
      <c r="B26" s="239">
        <v>42227</v>
      </c>
      <c r="C26" s="10">
        <v>741</v>
      </c>
      <c r="D26" s="10"/>
      <c r="E26" s="504" t="s">
        <v>411</v>
      </c>
      <c r="F26" s="438" t="s">
        <v>98</v>
      </c>
      <c r="G26" s="241">
        <v>150</v>
      </c>
      <c r="H26" s="110">
        <f t="shared" si="1"/>
        <v>1335.1399999999999</v>
      </c>
      <c r="I26" s="20"/>
      <c r="J26" s="1"/>
      <c r="K26" s="1"/>
    </row>
    <row r="27" spans="1:11" ht="30" customHeight="1" x14ac:dyDescent="0.25">
      <c r="A27" s="77" t="s">
        <v>196</v>
      </c>
      <c r="B27" s="239">
        <v>42227</v>
      </c>
      <c r="C27" s="10">
        <v>742</v>
      </c>
      <c r="D27" s="10"/>
      <c r="E27" s="504" t="s">
        <v>410</v>
      </c>
      <c r="F27" s="438" t="s">
        <v>98</v>
      </c>
      <c r="G27" s="241">
        <v>150</v>
      </c>
      <c r="H27" s="110">
        <f t="shared" si="1"/>
        <v>1185.1399999999999</v>
      </c>
      <c r="I27" s="86"/>
      <c r="J27" s="1"/>
      <c r="K27" s="1"/>
    </row>
    <row r="28" spans="1:11" ht="30" customHeight="1" x14ac:dyDescent="0.25">
      <c r="A28" s="77" t="s">
        <v>196</v>
      </c>
      <c r="B28" s="239">
        <v>42227</v>
      </c>
      <c r="C28" s="10">
        <v>743</v>
      </c>
      <c r="D28" s="78"/>
      <c r="E28" s="504" t="s">
        <v>409</v>
      </c>
      <c r="F28" s="438" t="s">
        <v>98</v>
      </c>
      <c r="G28" s="241">
        <v>150</v>
      </c>
      <c r="H28" s="110">
        <f t="shared" si="1"/>
        <v>1035.1399999999999</v>
      </c>
      <c r="I28" s="86"/>
      <c r="J28" s="1"/>
      <c r="K28" s="1"/>
    </row>
    <row r="29" spans="1:11" ht="30" customHeight="1" x14ac:dyDescent="0.25">
      <c r="A29" s="77" t="s">
        <v>196</v>
      </c>
      <c r="B29" s="239">
        <v>42227</v>
      </c>
      <c r="C29" s="10">
        <v>744</v>
      </c>
      <c r="D29" s="78"/>
      <c r="E29" s="504" t="s">
        <v>408</v>
      </c>
      <c r="F29" s="438" t="s">
        <v>98</v>
      </c>
      <c r="G29" s="241">
        <v>150</v>
      </c>
      <c r="H29" s="110">
        <f t="shared" si="1"/>
        <v>885.13999999999987</v>
      </c>
      <c r="I29" s="86"/>
      <c r="J29" s="1"/>
      <c r="K29" s="1"/>
    </row>
    <row r="30" spans="1:11" ht="30" customHeight="1" x14ac:dyDescent="0.25">
      <c r="A30" s="77" t="s">
        <v>196</v>
      </c>
      <c r="B30" s="239">
        <v>42229</v>
      </c>
      <c r="C30" s="78">
        <v>745</v>
      </c>
      <c r="D30" s="78"/>
      <c r="E30" s="77" t="s">
        <v>91</v>
      </c>
      <c r="F30" s="77" t="s">
        <v>416</v>
      </c>
      <c r="G30" s="241">
        <v>200</v>
      </c>
      <c r="H30" s="110">
        <f t="shared" si="1"/>
        <v>685.13999999999987</v>
      </c>
      <c r="I30" s="20"/>
      <c r="J30" s="1"/>
      <c r="K30" s="1"/>
    </row>
    <row r="31" spans="1:11" ht="30" customHeight="1" x14ac:dyDescent="0.25">
      <c r="A31" s="360"/>
      <c r="B31" s="360"/>
      <c r="C31" s="360"/>
      <c r="D31" s="360"/>
      <c r="E31" s="360"/>
      <c r="F31" s="360"/>
      <c r="G31" s="529">
        <v>139.94999999999999</v>
      </c>
      <c r="H31" s="110">
        <f t="shared" si="1"/>
        <v>545.18999999999983</v>
      </c>
    </row>
    <row r="32" spans="1:11" ht="30" customHeight="1" x14ac:dyDescent="0.4">
      <c r="A32" s="830" t="s">
        <v>481</v>
      </c>
      <c r="B32" s="831"/>
      <c r="C32" s="831"/>
      <c r="D32" s="831"/>
      <c r="E32" s="831"/>
      <c r="F32" s="831"/>
      <c r="G32" s="832"/>
      <c r="H32" s="110">
        <f>2507.3+H31</f>
        <v>3052.49</v>
      </c>
      <c r="I32" s="531">
        <v>42353</v>
      </c>
    </row>
    <row r="33" spans="1:8" ht="30" customHeight="1" x14ac:dyDescent="0.25">
      <c r="A33" s="360" t="s">
        <v>196</v>
      </c>
      <c r="B33" s="366">
        <v>42353</v>
      </c>
      <c r="C33" s="360">
        <v>1189</v>
      </c>
      <c r="D33" s="360"/>
      <c r="E33" s="530" t="s">
        <v>407</v>
      </c>
      <c r="F33" s="438" t="s">
        <v>98</v>
      </c>
      <c r="G33" s="365">
        <v>450</v>
      </c>
      <c r="H33" s="110">
        <f>H32-G33</f>
        <v>2602.4899999999998</v>
      </c>
    </row>
    <row r="34" spans="1:8" ht="30" customHeight="1" x14ac:dyDescent="0.25">
      <c r="A34" s="360" t="s">
        <v>196</v>
      </c>
      <c r="B34" s="366">
        <v>42353</v>
      </c>
      <c r="C34" s="360">
        <v>1190</v>
      </c>
      <c r="D34" s="360"/>
      <c r="E34" s="530" t="s">
        <v>411</v>
      </c>
      <c r="F34" s="438" t="s">
        <v>98</v>
      </c>
      <c r="G34" s="365">
        <v>450</v>
      </c>
      <c r="H34" s="110">
        <f t="shared" ref="H34:H37" si="2">H33-G34</f>
        <v>2152.4899999999998</v>
      </c>
    </row>
    <row r="35" spans="1:8" ht="30" customHeight="1" x14ac:dyDescent="0.25">
      <c r="A35" s="360" t="s">
        <v>196</v>
      </c>
      <c r="B35" s="366">
        <v>42353</v>
      </c>
      <c r="C35" s="360">
        <v>1191</v>
      </c>
      <c r="D35" s="360"/>
      <c r="E35" s="530" t="s">
        <v>410</v>
      </c>
      <c r="F35" s="438" t="s">
        <v>98</v>
      </c>
      <c r="G35" s="365">
        <v>450</v>
      </c>
      <c r="H35" s="110">
        <f t="shared" si="2"/>
        <v>1702.4899999999998</v>
      </c>
    </row>
    <row r="36" spans="1:8" ht="30" customHeight="1" x14ac:dyDescent="0.25">
      <c r="A36" s="360" t="s">
        <v>196</v>
      </c>
      <c r="B36" s="366">
        <v>42353</v>
      </c>
      <c r="C36" s="360">
        <v>1192</v>
      </c>
      <c r="D36" s="360"/>
      <c r="E36" s="530" t="s">
        <v>408</v>
      </c>
      <c r="F36" s="438" t="s">
        <v>98</v>
      </c>
      <c r="G36" s="365">
        <v>450</v>
      </c>
      <c r="H36" s="110">
        <f t="shared" si="2"/>
        <v>1252.4899999999998</v>
      </c>
    </row>
    <row r="37" spans="1:8" ht="30" customHeight="1" x14ac:dyDescent="0.25">
      <c r="A37" s="360"/>
      <c r="B37" s="360"/>
      <c r="C37" s="360"/>
      <c r="D37" s="360"/>
      <c r="E37" s="534"/>
      <c r="F37" s="438"/>
      <c r="G37" s="365"/>
      <c r="H37" s="110">
        <f t="shared" si="2"/>
        <v>1252.4899999999998</v>
      </c>
    </row>
  </sheetData>
  <mergeCells count="7">
    <mergeCell ref="A32:G32"/>
    <mergeCell ref="A22:G22"/>
    <mergeCell ref="A13:G13"/>
    <mergeCell ref="A3:E3"/>
    <mergeCell ref="A17:F17"/>
    <mergeCell ref="A20:G20"/>
    <mergeCell ref="A21:G21"/>
  </mergeCells>
  <pageMargins left="0.51181102362204722" right="0.51181102362204722" top="0.78740157480314965" bottom="0.78740157480314965" header="0.31496062992125984" footer="0.31496062992125984"/>
  <pageSetup paperSize="9" scale="70" orientation="landscape" horizontalDpi="0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2:L33"/>
  <sheetViews>
    <sheetView workbookViewId="0">
      <selection activeCell="F12" sqref="F12"/>
    </sheetView>
  </sheetViews>
  <sheetFormatPr defaultRowHeight="30" customHeight="1" x14ac:dyDescent="0.25"/>
  <cols>
    <col min="1" max="1" width="16.28515625" customWidth="1"/>
    <col min="2" max="2" width="18" customWidth="1"/>
    <col min="5" max="5" width="32.5703125" customWidth="1"/>
    <col min="6" max="6" width="35.28515625" customWidth="1"/>
    <col min="7" max="7" width="18.42578125" customWidth="1"/>
    <col min="8" max="8" width="25.85546875" customWidth="1"/>
  </cols>
  <sheetData>
    <row r="2" spans="1:12" ht="30" customHeight="1" x14ac:dyDescent="0.25">
      <c r="A2" s="646" t="s">
        <v>58</v>
      </c>
      <c r="B2" s="646"/>
      <c r="C2" s="646"/>
      <c r="D2" s="646"/>
      <c r="E2" s="646"/>
      <c r="F2" s="646"/>
      <c r="G2" s="111"/>
      <c r="H2" s="112"/>
      <c r="I2" s="20"/>
      <c r="J2" s="1"/>
      <c r="K2" s="1"/>
      <c r="L2" s="1"/>
    </row>
    <row r="3" spans="1:12" ht="30" customHeight="1" x14ac:dyDescent="0.25">
      <c r="A3" s="9" t="s">
        <v>3</v>
      </c>
      <c r="B3" s="9" t="s">
        <v>1</v>
      </c>
      <c r="C3" s="13" t="s">
        <v>6</v>
      </c>
      <c r="D3" s="13" t="s">
        <v>107</v>
      </c>
      <c r="E3" s="5" t="s">
        <v>109</v>
      </c>
      <c r="F3" s="179" t="s">
        <v>5</v>
      </c>
      <c r="G3" s="16" t="s">
        <v>2</v>
      </c>
      <c r="H3" s="109">
        <v>817</v>
      </c>
      <c r="I3" s="20"/>
      <c r="J3" s="1"/>
      <c r="K3" s="1"/>
      <c r="L3" s="1"/>
    </row>
    <row r="4" spans="1:12" ht="30" customHeight="1" x14ac:dyDescent="0.25">
      <c r="A4" s="174" t="s">
        <v>0</v>
      </c>
      <c r="B4" s="175">
        <v>41892</v>
      </c>
      <c r="C4" s="176"/>
      <c r="D4" s="176"/>
      <c r="E4" s="177" t="s">
        <v>66</v>
      </c>
      <c r="F4" s="180" t="s">
        <v>57</v>
      </c>
      <c r="G4" s="183">
        <v>100</v>
      </c>
      <c r="H4" s="185">
        <f t="shared" ref="H4:H16" si="0">H3-G4</f>
        <v>717</v>
      </c>
      <c r="I4" s="20"/>
      <c r="J4" s="1"/>
      <c r="K4" s="1"/>
      <c r="L4" s="1"/>
    </row>
    <row r="5" spans="1:12" ht="30" customHeight="1" x14ac:dyDescent="0.25">
      <c r="A5" s="191" t="s">
        <v>0</v>
      </c>
      <c r="B5" s="254">
        <v>41914</v>
      </c>
      <c r="C5" s="178"/>
      <c r="D5" s="154"/>
      <c r="E5" s="124" t="s">
        <v>64</v>
      </c>
      <c r="F5" s="181" t="s">
        <v>65</v>
      </c>
      <c r="G5" s="184">
        <v>100</v>
      </c>
      <c r="H5" s="185">
        <f t="shared" si="0"/>
        <v>617</v>
      </c>
      <c r="I5" s="20"/>
      <c r="J5" s="1"/>
      <c r="K5" s="1"/>
      <c r="L5" s="1"/>
    </row>
    <row r="6" spans="1:12" ht="30" customHeight="1" x14ac:dyDescent="0.25">
      <c r="A6" s="191" t="s">
        <v>0</v>
      </c>
      <c r="B6" s="254">
        <v>41914</v>
      </c>
      <c r="C6" s="178"/>
      <c r="D6" s="154"/>
      <c r="E6" s="124" t="s">
        <v>64</v>
      </c>
      <c r="F6" s="181" t="s">
        <v>59</v>
      </c>
      <c r="G6" s="184">
        <v>100</v>
      </c>
      <c r="H6" s="185">
        <f t="shared" si="0"/>
        <v>517</v>
      </c>
      <c r="I6" s="20"/>
      <c r="J6" s="1"/>
      <c r="K6" s="1"/>
      <c r="L6" s="1"/>
    </row>
    <row r="7" spans="1:12" ht="30" customHeight="1" x14ac:dyDescent="0.25">
      <c r="A7" s="191" t="s">
        <v>0</v>
      </c>
      <c r="B7" s="254">
        <v>41914</v>
      </c>
      <c r="C7" s="178"/>
      <c r="D7" s="154"/>
      <c r="E7" s="124" t="s">
        <v>64</v>
      </c>
      <c r="F7" s="181" t="s">
        <v>67</v>
      </c>
      <c r="G7" s="184">
        <v>100</v>
      </c>
      <c r="H7" s="185">
        <f t="shared" si="0"/>
        <v>417</v>
      </c>
      <c r="I7" s="20"/>
      <c r="J7" s="1"/>
      <c r="K7" s="1"/>
      <c r="L7" s="1"/>
    </row>
    <row r="8" spans="1:12" ht="30" customHeight="1" x14ac:dyDescent="0.25">
      <c r="A8" s="192" t="s">
        <v>0</v>
      </c>
      <c r="B8" s="255">
        <v>41925</v>
      </c>
      <c r="C8" s="125"/>
      <c r="D8" s="125"/>
      <c r="E8" s="124" t="s">
        <v>72</v>
      </c>
      <c r="F8" s="181" t="s">
        <v>70</v>
      </c>
      <c r="G8" s="184">
        <v>130</v>
      </c>
      <c r="H8" s="185">
        <f t="shared" si="0"/>
        <v>287</v>
      </c>
      <c r="I8" s="20"/>
      <c r="J8" s="1"/>
      <c r="K8" s="1"/>
      <c r="L8" s="1"/>
    </row>
    <row r="9" spans="1:12" ht="30" customHeight="1" x14ac:dyDescent="0.25">
      <c r="A9" s="192" t="s">
        <v>0</v>
      </c>
      <c r="B9" s="255">
        <v>41925</v>
      </c>
      <c r="C9" s="125"/>
      <c r="D9" s="125"/>
      <c r="E9" s="124" t="s">
        <v>73</v>
      </c>
      <c r="F9" s="181" t="s">
        <v>70</v>
      </c>
      <c r="G9" s="184">
        <v>70</v>
      </c>
      <c r="H9" s="185">
        <f t="shared" si="0"/>
        <v>217</v>
      </c>
      <c r="I9" s="20"/>
      <c r="J9" s="1"/>
      <c r="K9" s="1"/>
      <c r="L9" s="1"/>
    </row>
    <row r="10" spans="1:12" ht="30" customHeight="1" x14ac:dyDescent="0.25">
      <c r="A10" s="192" t="s">
        <v>0</v>
      </c>
      <c r="B10" s="255">
        <v>41925</v>
      </c>
      <c r="C10" s="125"/>
      <c r="D10" s="125"/>
      <c r="E10" s="124" t="s">
        <v>79</v>
      </c>
      <c r="F10" s="181" t="s">
        <v>80</v>
      </c>
      <c r="G10" s="184">
        <v>100</v>
      </c>
      <c r="H10" s="185">
        <f t="shared" si="0"/>
        <v>117</v>
      </c>
      <c r="I10" s="20"/>
      <c r="J10" s="1"/>
      <c r="K10" s="1"/>
      <c r="L10" s="1"/>
    </row>
    <row r="11" spans="1:12" ht="30" customHeight="1" x14ac:dyDescent="0.25">
      <c r="A11" s="192" t="s">
        <v>0</v>
      </c>
      <c r="B11" s="255">
        <v>41927</v>
      </c>
      <c r="C11" s="125"/>
      <c r="D11" s="125"/>
      <c r="E11" s="124" t="s">
        <v>84</v>
      </c>
      <c r="F11" s="181" t="s">
        <v>83</v>
      </c>
      <c r="G11" s="184">
        <v>70</v>
      </c>
      <c r="H11" s="185">
        <f t="shared" si="0"/>
        <v>47</v>
      </c>
      <c r="I11" s="20"/>
      <c r="J11" s="1"/>
      <c r="K11" s="1"/>
      <c r="L11" s="1"/>
    </row>
    <row r="12" spans="1:12" ht="30" customHeight="1" x14ac:dyDescent="0.25">
      <c r="A12" s="192" t="s">
        <v>0</v>
      </c>
      <c r="B12" s="255">
        <v>41929</v>
      </c>
      <c r="C12" s="125"/>
      <c r="D12" s="125"/>
      <c r="E12" s="124" t="s">
        <v>84</v>
      </c>
      <c r="F12" s="181" t="s">
        <v>85</v>
      </c>
      <c r="G12" s="184">
        <v>70</v>
      </c>
      <c r="H12" s="185">
        <f t="shared" si="0"/>
        <v>-23</v>
      </c>
      <c r="I12" s="20"/>
      <c r="J12" s="1"/>
      <c r="K12" s="1"/>
      <c r="L12" s="1"/>
    </row>
    <row r="13" spans="1:12" ht="30" customHeight="1" x14ac:dyDescent="0.25">
      <c r="A13" s="192" t="s">
        <v>0</v>
      </c>
      <c r="B13" s="255">
        <v>41932</v>
      </c>
      <c r="C13" s="125"/>
      <c r="D13" s="125"/>
      <c r="E13" s="124" t="s">
        <v>86</v>
      </c>
      <c r="F13" s="181" t="s">
        <v>87</v>
      </c>
      <c r="G13" s="184">
        <v>177</v>
      </c>
      <c r="H13" s="185">
        <f t="shared" si="0"/>
        <v>-200</v>
      </c>
      <c r="I13" s="20"/>
      <c r="J13" s="1"/>
      <c r="K13" s="1"/>
      <c r="L13" s="1"/>
    </row>
    <row r="14" spans="1:12" ht="30" customHeight="1" x14ac:dyDescent="0.25">
      <c r="A14" s="192" t="s">
        <v>0</v>
      </c>
      <c r="B14" s="255">
        <v>41948</v>
      </c>
      <c r="C14" s="125"/>
      <c r="D14" s="125"/>
      <c r="E14" s="124" t="s">
        <v>100</v>
      </c>
      <c r="F14" s="181" t="s">
        <v>161</v>
      </c>
      <c r="G14" s="184">
        <v>350</v>
      </c>
      <c r="H14" s="186">
        <f t="shared" si="0"/>
        <v>-550</v>
      </c>
      <c r="I14" s="20"/>
      <c r="J14" s="1"/>
      <c r="K14" s="1"/>
      <c r="L14" s="1"/>
    </row>
    <row r="15" spans="1:12" ht="30" customHeight="1" x14ac:dyDescent="0.25">
      <c r="A15" s="191" t="s">
        <v>0</v>
      </c>
      <c r="B15" s="254">
        <v>41954</v>
      </c>
      <c r="C15" s="154"/>
      <c r="D15" s="154">
        <v>5</v>
      </c>
      <c r="E15" s="153" t="s">
        <v>112</v>
      </c>
      <c r="F15" s="182" t="s">
        <v>113</v>
      </c>
      <c r="G15" s="188">
        <v>150</v>
      </c>
      <c r="H15" s="186">
        <f t="shared" si="0"/>
        <v>-700</v>
      </c>
      <c r="I15" s="20"/>
      <c r="J15" s="1"/>
      <c r="K15" s="1"/>
      <c r="L15" s="1"/>
    </row>
    <row r="16" spans="1:12" ht="30" customHeight="1" x14ac:dyDescent="0.25">
      <c r="A16" s="191" t="s">
        <v>0</v>
      </c>
      <c r="B16" s="254">
        <v>41955</v>
      </c>
      <c r="C16" s="154">
        <v>751</v>
      </c>
      <c r="D16" s="154">
        <v>3</v>
      </c>
      <c r="E16" s="153" t="s">
        <v>119</v>
      </c>
      <c r="F16" s="182" t="s">
        <v>118</v>
      </c>
      <c r="G16" s="188">
        <v>150</v>
      </c>
      <c r="H16" s="186">
        <f t="shared" si="0"/>
        <v>-850</v>
      </c>
      <c r="I16" s="20"/>
      <c r="J16" s="1"/>
      <c r="K16" s="1"/>
      <c r="L16" s="1"/>
    </row>
    <row r="17" spans="1:12" ht="30" customHeight="1" x14ac:dyDescent="0.25">
      <c r="A17" s="839" t="s">
        <v>123</v>
      </c>
      <c r="B17" s="840"/>
      <c r="C17" s="840"/>
      <c r="D17" s="840"/>
      <c r="E17" s="840"/>
      <c r="F17" s="841"/>
      <c r="G17" s="189"/>
      <c r="H17" s="187">
        <v>4583</v>
      </c>
      <c r="I17" s="20"/>
      <c r="J17" s="1"/>
      <c r="K17" s="1"/>
      <c r="L17" s="1"/>
    </row>
    <row r="18" spans="1:12" ht="30" customHeight="1" x14ac:dyDescent="0.25">
      <c r="A18" s="643"/>
      <c r="B18" s="644"/>
      <c r="C18" s="644"/>
      <c r="D18" s="644"/>
      <c r="E18" s="645"/>
      <c r="F18" s="197" t="s">
        <v>120</v>
      </c>
      <c r="G18" s="188">
        <v>850</v>
      </c>
      <c r="H18" s="198">
        <f t="shared" ref="H18:H31" si="1">H17-G18</f>
        <v>3733</v>
      </c>
      <c r="I18" s="232" t="s">
        <v>145</v>
      </c>
      <c r="J18" s="20"/>
      <c r="K18" s="1" t="s">
        <v>124</v>
      </c>
      <c r="L18" s="1"/>
    </row>
    <row r="19" spans="1:12" ht="30" customHeight="1" x14ac:dyDescent="0.25">
      <c r="A19" s="191" t="s">
        <v>0</v>
      </c>
      <c r="B19" s="254">
        <v>41977</v>
      </c>
      <c r="C19" s="154">
        <v>753</v>
      </c>
      <c r="D19" s="154">
        <v>4</v>
      </c>
      <c r="E19" s="217" t="s">
        <v>116</v>
      </c>
      <c r="F19" s="218" t="s">
        <v>138</v>
      </c>
      <c r="G19" s="221">
        <v>100</v>
      </c>
      <c r="H19" s="186">
        <f t="shared" si="1"/>
        <v>3633</v>
      </c>
      <c r="I19" s="209"/>
      <c r="J19" s="173"/>
      <c r="K19" s="1"/>
      <c r="L19" s="1"/>
    </row>
    <row r="20" spans="1:12" ht="30" customHeight="1" x14ac:dyDescent="0.25">
      <c r="A20" s="191" t="s">
        <v>0</v>
      </c>
      <c r="B20" s="254">
        <v>41977</v>
      </c>
      <c r="C20" s="154">
        <v>755</v>
      </c>
      <c r="D20" s="154">
        <v>7</v>
      </c>
      <c r="E20" s="219" t="s">
        <v>136</v>
      </c>
      <c r="F20" s="220" t="s">
        <v>137</v>
      </c>
      <c r="G20" s="225">
        <v>100</v>
      </c>
      <c r="H20" s="186">
        <f t="shared" si="1"/>
        <v>3533</v>
      </c>
      <c r="I20" s="173"/>
      <c r="J20" s="173"/>
      <c r="K20" s="1"/>
      <c r="L20" s="1"/>
    </row>
    <row r="21" spans="1:12" ht="30" customHeight="1" x14ac:dyDescent="0.25">
      <c r="A21" s="191" t="s">
        <v>0</v>
      </c>
      <c r="B21" s="254">
        <v>41985</v>
      </c>
      <c r="C21" s="154">
        <v>756</v>
      </c>
      <c r="D21" s="154">
        <v>4</v>
      </c>
      <c r="E21" s="217" t="s">
        <v>116</v>
      </c>
      <c r="F21" s="218" t="s">
        <v>147</v>
      </c>
      <c r="G21" s="221">
        <f>100*6</f>
        <v>600</v>
      </c>
      <c r="H21" s="186">
        <f t="shared" si="1"/>
        <v>2933</v>
      </c>
      <c r="I21" s="173"/>
      <c r="J21" s="173"/>
      <c r="K21" s="1"/>
      <c r="L21" s="1"/>
    </row>
    <row r="22" spans="1:12" ht="30" customHeight="1" x14ac:dyDescent="0.25">
      <c r="A22" s="191" t="s">
        <v>0</v>
      </c>
      <c r="B22" s="254">
        <v>41985</v>
      </c>
      <c r="C22" s="154">
        <v>757</v>
      </c>
      <c r="D22" s="154">
        <v>7</v>
      </c>
      <c r="E22" s="219" t="s">
        <v>136</v>
      </c>
      <c r="F22" s="220" t="s">
        <v>149</v>
      </c>
      <c r="G22" s="225">
        <f>100*2</f>
        <v>200</v>
      </c>
      <c r="H22" s="186">
        <f t="shared" si="1"/>
        <v>2733</v>
      </c>
      <c r="I22" s="209"/>
      <c r="J22" s="173"/>
      <c r="K22" s="1"/>
      <c r="L22" s="1"/>
    </row>
    <row r="23" spans="1:12" ht="30" customHeight="1" x14ac:dyDescent="0.25">
      <c r="A23" s="191" t="s">
        <v>0</v>
      </c>
      <c r="B23" s="254">
        <v>41985</v>
      </c>
      <c r="C23" s="154">
        <v>758</v>
      </c>
      <c r="D23" s="154">
        <v>7</v>
      </c>
      <c r="E23" s="219" t="s">
        <v>136</v>
      </c>
      <c r="F23" s="220" t="s">
        <v>150</v>
      </c>
      <c r="G23" s="225">
        <v>200</v>
      </c>
      <c r="H23" s="186">
        <f t="shared" si="1"/>
        <v>2533</v>
      </c>
      <c r="I23" s="236" t="s">
        <v>167</v>
      </c>
      <c r="J23" s="173"/>
      <c r="K23" s="1"/>
      <c r="L23" s="1"/>
    </row>
    <row r="24" spans="1:12" ht="30" customHeight="1" x14ac:dyDescent="0.25">
      <c r="A24" s="191" t="s">
        <v>0</v>
      </c>
      <c r="B24" s="254">
        <v>41988</v>
      </c>
      <c r="C24" s="154">
        <v>760</v>
      </c>
      <c r="D24" s="154">
        <v>6</v>
      </c>
      <c r="E24" s="222" t="s">
        <v>156</v>
      </c>
      <c r="F24" s="223" t="s">
        <v>155</v>
      </c>
      <c r="G24" s="224">
        <f>100*6</f>
        <v>600</v>
      </c>
      <c r="H24" s="186">
        <f t="shared" si="1"/>
        <v>1933</v>
      </c>
      <c r="I24" s="173"/>
      <c r="J24" s="173"/>
      <c r="K24" s="1"/>
      <c r="L24" s="1"/>
    </row>
    <row r="25" spans="1:12" ht="30" customHeight="1" x14ac:dyDescent="0.25">
      <c r="A25" s="191" t="s">
        <v>0</v>
      </c>
      <c r="B25" s="254">
        <v>41988</v>
      </c>
      <c r="C25" s="154">
        <v>761</v>
      </c>
      <c r="D25" s="154">
        <v>4</v>
      </c>
      <c r="E25" s="226" t="s">
        <v>119</v>
      </c>
      <c r="F25" s="227" t="s">
        <v>157</v>
      </c>
      <c r="G25" s="228">
        <f>100*4</f>
        <v>400</v>
      </c>
      <c r="H25" s="186">
        <f t="shared" si="1"/>
        <v>1533</v>
      </c>
      <c r="I25" s="173"/>
      <c r="J25" s="173"/>
      <c r="K25" s="1"/>
      <c r="L25" s="1"/>
    </row>
    <row r="26" spans="1:12" ht="30" customHeight="1" x14ac:dyDescent="0.25">
      <c r="A26" s="191" t="s">
        <v>90</v>
      </c>
      <c r="B26" s="254">
        <v>41988</v>
      </c>
      <c r="C26" s="154">
        <v>762</v>
      </c>
      <c r="D26" s="154">
        <v>5</v>
      </c>
      <c r="E26" s="229" t="s">
        <v>112</v>
      </c>
      <c r="F26" s="230" t="s">
        <v>166</v>
      </c>
      <c r="G26" s="231">
        <f>100*3+50</f>
        <v>350</v>
      </c>
      <c r="H26" s="186">
        <f t="shared" si="1"/>
        <v>1183</v>
      </c>
      <c r="I26" s="173"/>
      <c r="J26" s="173"/>
      <c r="K26" s="1"/>
      <c r="L26" s="1"/>
    </row>
    <row r="27" spans="1:12" ht="30" customHeight="1" x14ac:dyDescent="0.25">
      <c r="A27" s="191" t="s">
        <v>90</v>
      </c>
      <c r="B27" s="254">
        <v>41989</v>
      </c>
      <c r="C27" s="154">
        <v>764</v>
      </c>
      <c r="D27" s="154">
        <v>6</v>
      </c>
      <c r="E27" s="233" t="s">
        <v>159</v>
      </c>
      <c r="F27" s="234" t="s">
        <v>160</v>
      </c>
      <c r="G27" s="235">
        <v>500</v>
      </c>
      <c r="H27" s="186">
        <f t="shared" si="1"/>
        <v>683</v>
      </c>
      <c r="I27" s="173"/>
      <c r="J27" s="173"/>
      <c r="K27" s="1"/>
      <c r="L27" s="1"/>
    </row>
    <row r="28" spans="1:12" ht="30" customHeight="1" thickBot="1" x14ac:dyDescent="0.3">
      <c r="A28" s="282" t="s">
        <v>0</v>
      </c>
      <c r="B28" s="283">
        <v>41990</v>
      </c>
      <c r="C28" s="284">
        <v>766</v>
      </c>
      <c r="D28" s="284">
        <v>1</v>
      </c>
      <c r="E28" s="285" t="s">
        <v>163</v>
      </c>
      <c r="F28" s="286" t="s">
        <v>162</v>
      </c>
      <c r="G28" s="287">
        <v>400</v>
      </c>
      <c r="H28" s="288">
        <f t="shared" si="1"/>
        <v>283</v>
      </c>
      <c r="I28" s="173"/>
      <c r="J28" s="173"/>
      <c r="K28" s="1"/>
      <c r="L28" s="1"/>
    </row>
    <row r="29" spans="1:12" ht="30" customHeight="1" x14ac:dyDescent="0.25">
      <c r="A29" s="275" t="s">
        <v>0</v>
      </c>
      <c r="B29" s="276">
        <v>42051</v>
      </c>
      <c r="C29" s="277">
        <v>951</v>
      </c>
      <c r="D29" s="277">
        <v>5</v>
      </c>
      <c r="E29" s="278" t="s">
        <v>139</v>
      </c>
      <c r="F29" s="279" t="s">
        <v>185</v>
      </c>
      <c r="G29" s="280">
        <v>280</v>
      </c>
      <c r="H29" s="281">
        <f t="shared" si="1"/>
        <v>3</v>
      </c>
      <c r="I29" s="173"/>
      <c r="J29" s="173"/>
      <c r="K29" s="1"/>
      <c r="L29" s="1"/>
    </row>
    <row r="30" spans="1:12" ht="30" customHeight="1" x14ac:dyDescent="0.25">
      <c r="A30" s="191"/>
      <c r="B30" s="254"/>
      <c r="C30" s="154"/>
      <c r="D30" s="154"/>
      <c r="E30" s="153"/>
      <c r="F30" s="182"/>
      <c r="G30" s="188"/>
      <c r="H30" s="186">
        <f t="shared" si="1"/>
        <v>3</v>
      </c>
      <c r="I30" s="173"/>
      <c r="J30" s="173"/>
      <c r="K30" s="1"/>
      <c r="L30" s="1"/>
    </row>
    <row r="31" spans="1:12" ht="30" customHeight="1" x14ac:dyDescent="0.25">
      <c r="A31" s="193"/>
      <c r="B31" s="256"/>
      <c r="C31" s="194"/>
      <c r="D31" s="194"/>
      <c r="E31" s="195"/>
      <c r="F31" s="196"/>
      <c r="G31" s="190"/>
      <c r="H31" s="186">
        <f t="shared" si="1"/>
        <v>3</v>
      </c>
      <c r="I31" s="20"/>
      <c r="J31" s="1"/>
      <c r="K31" s="1"/>
      <c r="L31" s="1"/>
    </row>
    <row r="32" spans="1:12" ht="30" customHeight="1" thickBot="1" x14ac:dyDescent="0.3">
      <c r="A32" s="138"/>
      <c r="B32" s="259"/>
      <c r="C32" s="139"/>
      <c r="D32" s="139"/>
      <c r="E32" s="138"/>
      <c r="F32" s="138"/>
      <c r="G32" s="145"/>
      <c r="H32" s="138"/>
      <c r="I32" s="20"/>
      <c r="J32" s="1"/>
      <c r="K32" s="1"/>
      <c r="L32" s="1"/>
    </row>
    <row r="33" ht="30" customHeight="1" thickTop="1" x14ac:dyDescent="0.25"/>
  </sheetData>
  <mergeCells count="3">
    <mergeCell ref="A17:F17"/>
    <mergeCell ref="A18:E18"/>
    <mergeCell ref="A2:F2"/>
  </mergeCells>
  <pageMargins left="0.511811024" right="0.511811024" top="0.78740157499999996" bottom="0.78740157499999996" header="0.31496062000000002" footer="0.3149606200000000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E18"/>
  <sheetViews>
    <sheetView topLeftCell="A7" workbookViewId="0">
      <selection activeCell="A12" sqref="A12"/>
    </sheetView>
  </sheetViews>
  <sheetFormatPr defaultRowHeight="15" x14ac:dyDescent="0.25"/>
  <sheetData>
    <row r="5" spans="1:5" ht="64.5" x14ac:dyDescent="0.95">
      <c r="A5" s="463"/>
      <c r="B5" s="463"/>
      <c r="C5" s="463"/>
      <c r="D5" s="463"/>
      <c r="E5" s="462"/>
    </row>
    <row r="6" spans="1:5" ht="64.5" x14ac:dyDescent="0.95">
      <c r="A6" s="463"/>
      <c r="B6" s="463"/>
      <c r="C6" s="463"/>
      <c r="D6" s="463"/>
      <c r="E6" s="462"/>
    </row>
    <row r="7" spans="1:5" ht="64.5" x14ac:dyDescent="0.95">
      <c r="A7" s="463" t="s">
        <v>371</v>
      </c>
      <c r="B7" s="463"/>
      <c r="C7" s="463"/>
      <c r="D7" s="463"/>
      <c r="E7" s="462"/>
    </row>
    <row r="8" spans="1:5" ht="64.5" x14ac:dyDescent="0.95">
      <c r="A8" s="463"/>
      <c r="B8" s="463"/>
      <c r="C8" s="463"/>
      <c r="D8" s="463"/>
      <c r="E8" s="462"/>
    </row>
    <row r="9" spans="1:5" ht="64.5" x14ac:dyDescent="0.95">
      <c r="A9" s="463" t="s">
        <v>326</v>
      </c>
      <c r="B9" s="463"/>
      <c r="C9" s="463"/>
      <c r="D9" s="463"/>
      <c r="E9" s="462"/>
    </row>
    <row r="10" spans="1:5" ht="64.5" x14ac:dyDescent="0.95">
      <c r="A10" s="463"/>
      <c r="B10" s="463"/>
      <c r="C10" s="463"/>
      <c r="D10" s="463"/>
      <c r="E10" s="462"/>
    </row>
    <row r="11" spans="1:5" ht="64.5" x14ac:dyDescent="0.95">
      <c r="A11" s="464" t="s">
        <v>372</v>
      </c>
      <c r="B11" s="463"/>
      <c r="C11" s="463"/>
      <c r="D11" s="463"/>
      <c r="E11" s="462"/>
    </row>
    <row r="12" spans="1:5" ht="64.5" x14ac:dyDescent="0.95">
      <c r="A12" s="463"/>
      <c r="B12" s="463"/>
      <c r="C12" s="463"/>
      <c r="D12" s="463"/>
      <c r="E12" s="462"/>
    </row>
    <row r="13" spans="1:5" ht="64.5" x14ac:dyDescent="0.95">
      <c r="A13" s="463"/>
      <c r="B13" s="463"/>
      <c r="C13" s="463"/>
      <c r="D13" s="463"/>
      <c r="E13" s="462"/>
    </row>
    <row r="14" spans="1:5" ht="64.5" x14ac:dyDescent="0.95">
      <c r="A14" s="463"/>
      <c r="B14" s="463"/>
      <c r="C14" s="463"/>
      <c r="D14" s="463"/>
      <c r="E14" s="462"/>
    </row>
    <row r="15" spans="1:5" ht="64.5" x14ac:dyDescent="0.95">
      <c r="A15" s="463"/>
      <c r="B15" s="463"/>
      <c r="C15" s="463"/>
      <c r="D15" s="463"/>
      <c r="E15" s="462"/>
    </row>
    <row r="16" spans="1:5" ht="64.5" x14ac:dyDescent="0.95">
      <c r="A16" s="463"/>
      <c r="B16" s="463"/>
      <c r="C16" s="463"/>
      <c r="D16" s="463"/>
      <c r="E16" s="462"/>
    </row>
    <row r="17" spans="1:5" ht="19.5" x14ac:dyDescent="0.3">
      <c r="A17" s="462"/>
      <c r="B17" s="462"/>
      <c r="C17" s="462"/>
      <c r="D17" s="462"/>
      <c r="E17" s="462"/>
    </row>
    <row r="18" spans="1:5" ht="19.5" x14ac:dyDescent="0.3">
      <c r="A18" s="462"/>
      <c r="B18" s="462"/>
      <c r="C18" s="462"/>
      <c r="D18" s="462"/>
      <c r="E18" s="462"/>
    </row>
  </sheetData>
  <pageMargins left="0.70866141732283472" right="0.51181102362204722" top="0.59055118110236227" bottom="0.78740157480314965" header="0.31496062992125984" footer="0.31496062992125984"/>
  <pageSetup paperSize="9" scale="80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5</vt:i4>
      </vt:variant>
    </vt:vector>
  </HeadingPairs>
  <TitlesOfParts>
    <vt:vector size="13" baseType="lpstr">
      <vt:lpstr>COMPRAS DIVERSAS</vt:lpstr>
      <vt:lpstr>DESCONTÃO 2015</vt:lpstr>
      <vt:lpstr>MAX CALÇADOS</vt:lpstr>
      <vt:lpstr>DELÍRIOS CONFECÇÕES</vt:lpstr>
      <vt:lpstr>MAKROPEL</vt:lpstr>
      <vt:lpstr>CASA VITÓRIA</vt:lpstr>
      <vt:lpstr>ARQUIVO 2014.</vt:lpstr>
      <vt:lpstr>Plan1</vt:lpstr>
      <vt:lpstr>'CASA VITÓRIA'!Area_de_impressao</vt:lpstr>
      <vt:lpstr>'DELÍRIOS CONFECÇÕES'!Area_de_impressao</vt:lpstr>
      <vt:lpstr>'DESCONTÃO 2015'!Area_de_impressao</vt:lpstr>
      <vt:lpstr>MAKROPEL!Area_de_impressao</vt:lpstr>
      <vt:lpstr>'MAX CALÇADOS'!Area_de_impressao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</dc:creator>
  <cp:lastModifiedBy>adm</cp:lastModifiedBy>
  <cp:lastPrinted>2016-03-07T13:44:33Z</cp:lastPrinted>
  <dcterms:created xsi:type="dcterms:W3CDTF">2013-08-15T14:59:21Z</dcterms:created>
  <dcterms:modified xsi:type="dcterms:W3CDTF">2016-03-14T20:11:36Z</dcterms:modified>
</cp:coreProperties>
</file>